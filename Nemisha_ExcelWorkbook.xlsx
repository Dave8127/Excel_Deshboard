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\Desktop\RWn\Excel\Practicle exam\"/>
    </mc:Choice>
  </mc:AlternateContent>
  <bookViews>
    <workbookView xWindow="0" yWindow="0" windowWidth="19200" windowHeight="6930" activeTab="1"/>
  </bookViews>
  <sheets>
    <sheet name="Dataset" sheetId="1" r:id="rId1"/>
    <sheet name="Dashboard" sheetId="5" r:id="rId2"/>
    <sheet name="Analysis" sheetId="2" r:id="rId3"/>
    <sheet name="Pivot_Table" sheetId="3" r:id="rId4"/>
    <sheet name="Advance_Formulas" sheetId="4" r:id="rId5"/>
  </sheet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4" l="1"/>
  <c r="B17" i="4"/>
  <c r="B16" i="4"/>
  <c r="B11" i="4"/>
  <c r="B10" i="4"/>
  <c r="B9" i="4"/>
  <c r="B8" i="4"/>
  <c r="B7" i="4"/>
  <c r="B6" i="4"/>
  <c r="C7" i="2"/>
  <c r="B10" i="2"/>
  <c r="A7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C12" i="2" l="1"/>
  <c r="C11" i="2"/>
  <c r="C10" i="2"/>
  <c r="B12" i="2"/>
  <c r="B11" i="2"/>
  <c r="G7" i="2"/>
  <c r="E7" i="2"/>
  <c r="C4" i="2" l="1"/>
</calcChain>
</file>

<file path=xl/sharedStrings.xml><?xml version="1.0" encoding="utf-8"?>
<sst xmlns="http://schemas.openxmlformats.org/spreadsheetml/2006/main" count="1423" uniqueCount="485">
  <si>
    <t>order_id</t>
  </si>
  <si>
    <t>order_date</t>
  </si>
  <si>
    <t>ship_date</t>
  </si>
  <si>
    <t>ship_mode</t>
  </si>
  <si>
    <t>customer_name</t>
  </si>
  <si>
    <t>segment</t>
  </si>
  <si>
    <t>state</t>
  </si>
  <si>
    <t>country</t>
  </si>
  <si>
    <t>market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</si>
  <si>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</si>
  <si>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</si>
  <si>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</si>
  <si>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</si>
  <si>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</si>
  <si>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</si>
  <si>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</si>
  <si>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</si>
  <si>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</si>
  <si>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shipping_cost</t>
  </si>
  <si>
    <t>order_priority</t>
  </si>
  <si>
    <t>year</t>
  </si>
  <si>
    <t>AG-2011-2040</t>
  </si>
  <si>
    <t>Standard Class</t>
  </si>
  <si>
    <t>Toby Braunhardt</t>
  </si>
  <si>
    <t>Consumer</t>
  </si>
  <si>
    <t>Constantine</t>
  </si>
  <si>
    <t>Algeria</t>
  </si>
  <si>
    <t>Africa</t>
  </si>
  <si>
    <t>OFF-TEN-10000025</t>
  </si>
  <si>
    <t>Office Supplies</t>
  </si>
  <si>
    <t>Storage</t>
  </si>
  <si>
    <t>Tenex Lockers, Blue</t>
  </si>
  <si>
    <t>Medium</t>
  </si>
  <si>
    <t>IN-2011-47883</t>
  </si>
  <si>
    <t>Joseph Holt</t>
  </si>
  <si>
    <t>New South Wales</t>
  </si>
  <si>
    <t>Australia</t>
  </si>
  <si>
    <t>APAC</t>
  </si>
  <si>
    <t>Oceania</t>
  </si>
  <si>
    <t>OFF-SU-10000618</t>
  </si>
  <si>
    <t>Supplies</t>
  </si>
  <si>
    <t>Acme Trimmer, High Speed</t>
  </si>
  <si>
    <t>HU-2011-1220</t>
  </si>
  <si>
    <t>Second Class</t>
  </si>
  <si>
    <t>Annie Thurman</t>
  </si>
  <si>
    <t>Budapest</t>
  </si>
  <si>
    <t>Hungary</t>
  </si>
  <si>
    <t>EMEA</t>
  </si>
  <si>
    <t>OFF-TEN-10001585</t>
  </si>
  <si>
    <t>Tenex Box, Single Width</t>
  </si>
  <si>
    <t>High</t>
  </si>
  <si>
    <t>IT-2011-3647632</t>
  </si>
  <si>
    <t>Eugene Moren</t>
  </si>
  <si>
    <t>Home Office</t>
  </si>
  <si>
    <t>Stockholm</t>
  </si>
  <si>
    <t>Sweden</t>
  </si>
  <si>
    <t>EU</t>
  </si>
  <si>
    <t>North</t>
  </si>
  <si>
    <t>OFF-PA-10001492</t>
  </si>
  <si>
    <t>Paper</t>
  </si>
  <si>
    <t>Enermax Note Cards, Premium</t>
  </si>
  <si>
    <t>FUR-FU-10003447</t>
  </si>
  <si>
    <t>Furniture</t>
  </si>
  <si>
    <t>Furnishings</t>
  </si>
  <si>
    <t>Eldon Light Bulb, Duo Pack</t>
  </si>
  <si>
    <t>OFF-PA-10001968</t>
  </si>
  <si>
    <t>Eaton Computer Printout Paper, 8.5 x 11</t>
  </si>
  <si>
    <t>CA-2011-1510</t>
  </si>
  <si>
    <t>Magdelene Morse</t>
  </si>
  <si>
    <t>Ontario</t>
  </si>
  <si>
    <t>Canada</t>
  </si>
  <si>
    <t>TEC-OKI-10002750</t>
  </si>
  <si>
    <t>Technology</t>
  </si>
  <si>
    <t>Machines</t>
  </si>
  <si>
    <t>Okidata Inkjet, Wireless</t>
  </si>
  <si>
    <t>IN-2011-79397</t>
  </si>
  <si>
    <t>Same Day</t>
  </si>
  <si>
    <t>Kean Nguyen</t>
  </si>
  <si>
    <t>Corporate</t>
  </si>
  <si>
    <t>OFF-AP-10000304</t>
  </si>
  <si>
    <t>Appliances</t>
  </si>
  <si>
    <t>Hoover Microwave, White</t>
  </si>
  <si>
    <t>Critical</t>
  </si>
  <si>
    <t>ID-2011-80230</t>
  </si>
  <si>
    <t>Ken Lonsdale</t>
  </si>
  <si>
    <t>Auckland</t>
  </si>
  <si>
    <t>New Zealand</t>
  </si>
  <si>
    <t>TEC-CO-10004182</t>
  </si>
  <si>
    <t>Copiers</t>
  </si>
  <si>
    <t>Hewlett Wireless Fax, Laser</t>
  </si>
  <si>
    <t>Low</t>
  </si>
  <si>
    <t>IZ-2011-4680</t>
  </si>
  <si>
    <t>Lindsay Williams</t>
  </si>
  <si>
    <t>Ninawa</t>
  </si>
  <si>
    <t>Iraq</t>
  </si>
  <si>
    <t>FUR-NOV-10002791</t>
  </si>
  <si>
    <t>Chairs</t>
  </si>
  <si>
    <t>Novimex Swivel Stool, Set of Two</t>
  </si>
  <si>
    <t>IN-2011-65159</t>
  </si>
  <si>
    <t>Larry Blacks</t>
  </si>
  <si>
    <t>National Capital</t>
  </si>
  <si>
    <t>Philippines</t>
  </si>
  <si>
    <t>Southeast Asia</t>
  </si>
  <si>
    <t>OFF-ST-10003020</t>
  </si>
  <si>
    <t>Tenex Lockers, Industrial</t>
  </si>
  <si>
    <t>FUR-TA-10002797</t>
  </si>
  <si>
    <t>Tables</t>
  </si>
  <si>
    <t>Chromcraft Round Table, Adjustable Height</t>
  </si>
  <si>
    <t>ES-2011-4869686</t>
  </si>
  <si>
    <t>Dorothy Dickinson</t>
  </si>
  <si>
    <t>England</t>
  </si>
  <si>
    <t>United Kingdom</t>
  </si>
  <si>
    <t>FUR-BO-10000728</t>
  </si>
  <si>
    <t>Bookcases</t>
  </si>
  <si>
    <t>Dania Corner Shelving, Traditional</t>
  </si>
  <si>
    <t>IN-2011-33652</t>
  </si>
  <si>
    <t>Dennis Pardue</t>
  </si>
  <si>
    <t>Sarawak</t>
  </si>
  <si>
    <t>Malaysia</t>
  </si>
  <si>
    <t>TEC-CO-10000594</t>
  </si>
  <si>
    <t>Hewlett Fax and Copier, Laser</t>
  </si>
  <si>
    <t>FUR-CH-10000214</t>
  </si>
  <si>
    <t>Hon Rocking Chair, Set of Two</t>
  </si>
  <si>
    <t>MX-2011-160234</t>
  </si>
  <si>
    <t>Stewart Visinsky</t>
  </si>
  <si>
    <t>Guatemala</t>
  </si>
  <si>
    <t>LATAM</t>
  </si>
  <si>
    <t>Central</t>
  </si>
  <si>
    <t>TEC-PH-10002647</t>
  </si>
  <si>
    <t>Phones</t>
  </si>
  <si>
    <t>Nokia Headset, VoIP</t>
  </si>
  <si>
    <t>IR-2011-770</t>
  </si>
  <si>
    <t>Jas O'Carroll</t>
  </si>
  <si>
    <t>Yazd</t>
  </si>
  <si>
    <t>Iran</t>
  </si>
  <si>
    <t>OFF-BRE-10003081</t>
  </si>
  <si>
    <t>Breville Coffee Grinder, Black</t>
  </si>
  <si>
    <t>TEC-AC-10002881</t>
  </si>
  <si>
    <t>Accessories</t>
  </si>
  <si>
    <t>Belkin Numeric Keypad, Bluetooth</t>
  </si>
  <si>
    <t>FUR-CH-10000666</t>
  </si>
  <si>
    <t>SAFCO Chairmat, Black</t>
  </si>
  <si>
    <t>ID-2011-12596</t>
  </si>
  <si>
    <t>Chris McAfee</t>
  </si>
  <si>
    <t>Nakhon Ratchasima</t>
  </si>
  <si>
    <t>Thailand</t>
  </si>
  <si>
    <t>OFF-ST-10002066</t>
  </si>
  <si>
    <t>Smead File Cart, Blue</t>
  </si>
  <si>
    <t>OFF-LA-10003396</t>
  </si>
  <si>
    <t>Labels</t>
  </si>
  <si>
    <t>Avery Color Coded Labels, Laser Printer Compatible</t>
  </si>
  <si>
    <t>IR-2011-7690</t>
  </si>
  <si>
    <t>Nat Gilpin</t>
  </si>
  <si>
    <t>Razavi Khorasan</t>
  </si>
  <si>
    <t>OFF-BIC-10000582</t>
  </si>
  <si>
    <t>Art</t>
  </si>
  <si>
    <t>BIC Sketch Pad, Water Color</t>
  </si>
  <si>
    <t>OFF-ROG-10004393</t>
  </si>
  <si>
    <t>Rogers Folders, Industrial</t>
  </si>
  <si>
    <t>TZ-2011-7370</t>
  </si>
  <si>
    <t>Jack Garza</t>
  </si>
  <si>
    <t>Dar Es Salaam</t>
  </si>
  <si>
    <t>Tanzania</t>
  </si>
  <si>
    <t>OFF-STI-10000388</t>
  </si>
  <si>
    <t>Stiletto Scissors, Serrated</t>
  </si>
  <si>
    <t>OFF-CAM-10004338</t>
  </si>
  <si>
    <t>Envelopes</t>
  </si>
  <si>
    <t>Cameo Interoffice Envelope, Set of 50</t>
  </si>
  <si>
    <t>OFF-FA-10002569</t>
  </si>
  <si>
    <t>Fasteners</t>
  </si>
  <si>
    <t>Stockwell Staples, Metal</t>
  </si>
  <si>
    <t>OFF-ADV-10000213</t>
  </si>
  <si>
    <t>Advantus Rubber Bands, Metal</t>
  </si>
  <si>
    <t>MX-2011-111255</t>
  </si>
  <si>
    <t>Russell Applegate</t>
  </si>
  <si>
    <t>Parana</t>
  </si>
  <si>
    <t>Brazil</t>
  </si>
  <si>
    <t>South</t>
  </si>
  <si>
    <t>FUR-BO-10001498</t>
  </si>
  <si>
    <t>Dania Classic Bookcase, Pine</t>
  </si>
  <si>
    <t>MX-2011-140641</t>
  </si>
  <si>
    <t>Maya Herman</t>
  </si>
  <si>
    <t>YucatÃ¡n</t>
  </si>
  <si>
    <t>Mexico</t>
  </si>
  <si>
    <t>TEC-AC-10001082</t>
  </si>
  <si>
    <t>Enermax Keyboard, Bluetooth</t>
  </si>
  <si>
    <t>MX-2011-158771</t>
  </si>
  <si>
    <t>Beth Thompson</t>
  </si>
  <si>
    <t>Granma</t>
  </si>
  <si>
    <t>Cuba</t>
  </si>
  <si>
    <t>Caribbean</t>
  </si>
  <si>
    <t>OFF-EN-10000857</t>
  </si>
  <si>
    <t>Jiffy Interoffice Envelope, Set of 50</t>
  </si>
  <si>
    <t>ES-2011-4939443</t>
  </si>
  <si>
    <t>Arthur Prichep</t>
  </si>
  <si>
    <t>RhÃ´ne-Alpes</t>
  </si>
  <si>
    <t>France</t>
  </si>
  <si>
    <t>OFF-AR-10001546</t>
  </si>
  <si>
    <t>Binney &amp; Smith Sketch Pad, Easy-Erase</t>
  </si>
  <si>
    <t>OFF-SU-10003629</t>
  </si>
  <si>
    <t>Fiskars Letter Opener, Easy Grip</t>
  </si>
  <si>
    <t>TEC-CO-10002998</t>
  </si>
  <si>
    <t>Sharp Ink, Laser</t>
  </si>
  <si>
    <t>US-2011-136007</t>
  </si>
  <si>
    <t>Alagoas</t>
  </si>
  <si>
    <t>OFF-EN-10004956</t>
  </si>
  <si>
    <t>MX-2011-159373</t>
  </si>
  <si>
    <t>Arthur Wiediger</t>
  </si>
  <si>
    <t>Santiago de Cuba</t>
  </si>
  <si>
    <t>FUR-CH-10004827</t>
  </si>
  <si>
    <t>TEC-AC-10003081</t>
  </si>
  <si>
    <t>Memorex Mouse, USB</t>
  </si>
  <si>
    <t>OFF-EN-10002816</t>
  </si>
  <si>
    <t>Kraft Peel and Seal, Recycled</t>
  </si>
  <si>
    <t>IT-2011-2942451</t>
  </si>
  <si>
    <t>Grant Thornton</t>
  </si>
  <si>
    <t>OFF-AR-10002485</t>
  </si>
  <si>
    <t>Boston Markers, Easy-Erase</t>
  </si>
  <si>
    <t>CA-2011-103800</t>
  </si>
  <si>
    <t>Darren Powers</t>
  </si>
  <si>
    <t>Texas</t>
  </si>
  <si>
    <t>United States</t>
  </si>
  <si>
    <t>US</t>
  </si>
  <si>
    <t>OFF-PA-10000174</t>
  </si>
  <si>
    <t>Message Book, Wirebound, Four 5 1/2" X 4" Forms/Pg., 200 Dupl. Sets/Book</t>
  </si>
  <si>
    <t>IN-2011-33036</t>
  </si>
  <si>
    <t>Bradley Drucker</t>
  </si>
  <si>
    <t>Tottori</t>
  </si>
  <si>
    <t>Japan</t>
  </si>
  <si>
    <t>North Asia</t>
  </si>
  <si>
    <t>OFF-LA-10000784</t>
  </si>
  <si>
    <t>Harbour Creations File Folder Labels, 5000 Label Set</t>
  </si>
  <si>
    <t>OFF-ST-10001426</t>
  </si>
  <si>
    <t>Eldon Folders, Single Width</t>
  </si>
  <si>
    <t>SU-2011-5190</t>
  </si>
  <si>
    <t>Jasper Cacioppo</t>
  </si>
  <si>
    <t>Khartoum</t>
  </si>
  <si>
    <t>Sudan</t>
  </si>
  <si>
    <t>OFF-BOS-10004950</t>
  </si>
  <si>
    <t>Boston Pens, Fluorescent</t>
  </si>
  <si>
    <t>OFF-AVE-10003279</t>
  </si>
  <si>
    <t>Binders</t>
  </si>
  <si>
    <t>Avery Hole Reinforcements, Durable</t>
  </si>
  <si>
    <t>MX-2011-109267</t>
  </si>
  <si>
    <t>Jennifer Halladay</t>
  </si>
  <si>
    <t>Veracruz</t>
  </si>
  <si>
    <t>OFF-AP-10004245</t>
  </si>
  <si>
    <t>Hoover Stove, Black</t>
  </si>
  <si>
    <t>ES-2011-3848439</t>
  </si>
  <si>
    <t>First Class</t>
  </si>
  <si>
    <t>Michael Granlund</t>
  </si>
  <si>
    <t>OFF-AR-10001291</t>
  </si>
  <si>
    <t>Sanford Canvas, Fluorescent</t>
  </si>
  <si>
    <t>OFF-AR-10000833</t>
  </si>
  <si>
    <t>Binney &amp; Smith Pencil Sharpener, Water Color</t>
  </si>
  <si>
    <t>CA-2011-112326</t>
  </si>
  <si>
    <t>Phillina Ober</t>
  </si>
  <si>
    <t>Illinois</t>
  </si>
  <si>
    <t>OFF-ST-10002743</t>
  </si>
  <si>
    <t>SAFCO Boltless Steel Shelving</t>
  </si>
  <si>
    <t>IN-2011-27681</t>
  </si>
  <si>
    <t>Shaun Weien</t>
  </si>
  <si>
    <t>Taipei City</t>
  </si>
  <si>
    <t>Taiwan</t>
  </si>
  <si>
    <t>FUR-FU-10000394</t>
  </si>
  <si>
    <t>Rubbermaid Photo Frame, Durable</t>
  </si>
  <si>
    <t>OFF-LA-10003223</t>
  </si>
  <si>
    <t>Avery 508</t>
  </si>
  <si>
    <t>OFF-BI-10004094</t>
  </si>
  <si>
    <t>GBC Standard Plastic Binding Systems Combs</t>
  </si>
  <si>
    <t>ES-2011-5496179</t>
  </si>
  <si>
    <t>Shahid Hopkins</t>
  </si>
  <si>
    <t>Ile-de-France</t>
  </si>
  <si>
    <t>FUR-FU-10000468</t>
  </si>
  <si>
    <t>Advantus Frame, Durable</t>
  </si>
  <si>
    <t>IN-2011-29963</t>
  </si>
  <si>
    <t>Brosina Hoffman</t>
  </si>
  <si>
    <t>Sumatera Barat</t>
  </si>
  <si>
    <t>Indonesia</t>
  </si>
  <si>
    <t>OFF-ST-10000344</t>
  </si>
  <si>
    <t>Fellowes Box, Industrial</t>
  </si>
  <si>
    <t>ID-2011-41632</t>
  </si>
  <si>
    <t>Robert Dilbeck</t>
  </si>
  <si>
    <t>Ho ChÃ­ Minh City</t>
  </si>
  <si>
    <t>Vietnam</t>
  </si>
  <si>
    <t>OFF-ST-10001631</t>
  </si>
  <si>
    <t>Tenex Trays, Blue</t>
  </si>
  <si>
    <t>OFF-FA-10000549</t>
  </si>
  <si>
    <t>Advantus Staples, Metal</t>
  </si>
  <si>
    <t>OFF-PA-10003407</t>
  </si>
  <si>
    <t>Enermax Memo Slips, Recycled</t>
  </si>
  <si>
    <t>AO-2011-4910</t>
  </si>
  <si>
    <t>Grace Kelly</t>
  </si>
  <si>
    <t>Luanda</t>
  </si>
  <si>
    <t>Angola</t>
  </si>
  <si>
    <t>TEC-LOG-10003079</t>
  </si>
  <si>
    <t>Logitech Flash Drive, Erganomic</t>
  </si>
  <si>
    <t>IN-2011-76107</t>
  </si>
  <si>
    <t>Khloe Miller</t>
  </si>
  <si>
    <t>Jilin</t>
  </si>
  <si>
    <t>China</t>
  </si>
  <si>
    <t>OFF-EN-10002166</t>
  </si>
  <si>
    <t>Cameo Manila Envelope, with clear poly window</t>
  </si>
  <si>
    <t>CA-2011-141817</t>
  </si>
  <si>
    <t>Mick Brown</t>
  </si>
  <si>
    <t>Pennsylvania</t>
  </si>
  <si>
    <t>East</t>
  </si>
  <si>
    <t>OFF-AR-10003478</t>
  </si>
  <si>
    <t>Avery Hi-Liter EverBold Pen Style Fluorescent Highlighters, 4/Pack</t>
  </si>
  <si>
    <t>CA-2011-167199</t>
  </si>
  <si>
    <t>Maria Etezadi</t>
  </si>
  <si>
    <t>Kentucky</t>
  </si>
  <si>
    <t>FUR-CH-10004063</t>
  </si>
  <si>
    <t>Global Deluxe High-Back Manager's Chair</t>
  </si>
  <si>
    <t>OFF-BI-10004632</t>
  </si>
  <si>
    <t>Ibico Hi-Tech Manual Binding System</t>
  </si>
  <si>
    <t>TEC-PH-10004977</t>
  </si>
  <si>
    <t>GE 30524EE4</t>
  </si>
  <si>
    <t>MZ-2011-1260</t>
  </si>
  <si>
    <t>Niassa</t>
  </si>
  <si>
    <t>Mozambique</t>
  </si>
  <si>
    <t>OFF-ELD-10001694</t>
  </si>
  <si>
    <t>Eldon File Cart, Single Width</t>
  </si>
  <si>
    <t>ID-2011-58670</t>
  </si>
  <si>
    <t>Maribeth Schnelling</t>
  </si>
  <si>
    <t>TEC-MA-10000868</t>
  </si>
  <si>
    <t>Panasonic Phone, Wireless</t>
  </si>
  <si>
    <t>TEC-AC-10003413</t>
  </si>
  <si>
    <t>Logitech Router, Programmable</t>
  </si>
  <si>
    <t>ES-2011-5433855</t>
  </si>
  <si>
    <t>Dave Poirier</t>
  </si>
  <si>
    <t>Provence-Alpes-CÃ´te d'Azur</t>
  </si>
  <si>
    <t>OFF-ST-10004855</t>
  </si>
  <si>
    <t>Smead Lockers, Industrial</t>
  </si>
  <si>
    <t>TEC-MA-10004482</t>
  </si>
  <si>
    <t>Panasonic Card Printer, White</t>
  </si>
  <si>
    <t>LE-2011-9590</t>
  </si>
  <si>
    <t>Harry Marie</t>
  </si>
  <si>
    <t>Beirut</t>
  </si>
  <si>
    <t>Lebanon</t>
  </si>
  <si>
    <t>TEC-HP -10000464</t>
  </si>
  <si>
    <t>HP Fax and Copier, Color</t>
  </si>
  <si>
    <t>TEC-PH-10004539</t>
  </si>
  <si>
    <t>Wireless Extenders zBoost YX545 SOHO Signal Booster</t>
  </si>
  <si>
    <t>OFF-STA-10004885</t>
  </si>
  <si>
    <t>Stanley Sketch Pad, Easy-Erase</t>
  </si>
  <si>
    <t>OFF-FA-10002071</t>
  </si>
  <si>
    <t>Accos Thumb Tacks, Assorted Sizes</t>
  </si>
  <si>
    <t>FUR-BO-10000265</t>
  </si>
  <si>
    <t>Bush Floating Shelf Set, Pine</t>
  </si>
  <si>
    <t>CA-2011-130813</t>
  </si>
  <si>
    <t>Lycoris Saunders</t>
  </si>
  <si>
    <t>California</t>
  </si>
  <si>
    <t>West</t>
  </si>
  <si>
    <t>OFF-PA-10002005</t>
  </si>
  <si>
    <t>Xerox 225</t>
  </si>
  <si>
    <t>AG-2011-7230</t>
  </si>
  <si>
    <t>Alyssa Crouse</t>
  </si>
  <si>
    <t>Alger</t>
  </si>
  <si>
    <t>OFF-STA-10000244</t>
  </si>
  <si>
    <t>Stanley Sketch Pad, Fluorescent</t>
  </si>
  <si>
    <t>MX-2011-135629</t>
  </si>
  <si>
    <t>SÃ£o Paulo</t>
  </si>
  <si>
    <t>OFF-FA-10001871</t>
  </si>
  <si>
    <t>Stockwell Rubber Bands, Bulk Pack</t>
  </si>
  <si>
    <t>OFF-BI-10000136</t>
  </si>
  <si>
    <t>Ibico Index Tab, Durable</t>
  </si>
  <si>
    <t>CA-2011-106054</t>
  </si>
  <si>
    <t>Jack O'Briant</t>
  </si>
  <si>
    <t>Georgia</t>
  </si>
  <si>
    <t>OFF-AR-10002399</t>
  </si>
  <si>
    <t>Dixon Prang Watercolor Pencils, 10-Color Set with Brush</t>
  </si>
  <si>
    <t>OFF-AR-10003684</t>
  </si>
  <si>
    <t>BIC Sketch Pad, Fluorescent</t>
  </si>
  <si>
    <t>FUR-ADV-10000847</t>
  </si>
  <si>
    <t>Advantus Stacking Tray, Black</t>
  </si>
  <si>
    <t>OFF-FA-10001883</t>
  </si>
  <si>
    <t>Alliance Super-Size Bands, Assorted Sizes</t>
  </si>
  <si>
    <t>OFF-PA-10000955</t>
  </si>
  <si>
    <t>Southworth 25% Cotton Granite Paper &amp; Envelopes</t>
  </si>
  <si>
    <t>ID-2011-28752</t>
  </si>
  <si>
    <t>Adam Bellavance</t>
  </si>
  <si>
    <t>Singapore</t>
  </si>
  <si>
    <t>OFF-LA-10002875</t>
  </si>
  <si>
    <t>Novimex Shipping Labels, Adjustable</t>
  </si>
  <si>
    <t>OFF-AR-10001662</t>
  </si>
  <si>
    <t>Rogers Handheld Barrel Pencil Sharpener</t>
  </si>
  <si>
    <t>IT-2011-5134922</t>
  </si>
  <si>
    <t>Joy Smith</t>
  </si>
  <si>
    <t>Groningen</t>
  </si>
  <si>
    <t>Netherlands</t>
  </si>
  <si>
    <t>OFF-AR-10000316</t>
  </si>
  <si>
    <t>Stanley Pens, Blue</t>
  </si>
  <si>
    <t>AO-2011-1670</t>
  </si>
  <si>
    <t>Henia Zydlo</t>
  </si>
  <si>
    <t>Benguela</t>
  </si>
  <si>
    <t>FUR-IKE-10001539</t>
  </si>
  <si>
    <t>Ikea Classic Bookcase, Pine</t>
  </si>
  <si>
    <t>IN-2011-19330</t>
  </si>
  <si>
    <t>Nicole Fjeld</t>
  </si>
  <si>
    <t>Yunnan</t>
  </si>
  <si>
    <t>TEC-MA-10002468</t>
  </si>
  <si>
    <t>Panasonic Inkjet, White</t>
  </si>
  <si>
    <t>IT-2011-4546695</t>
  </si>
  <si>
    <t>Midi-PyrÃ©nÃ©es</t>
  </si>
  <si>
    <t>FUR-BO-10003103</t>
  </si>
  <si>
    <t>Ikea Classic Bookcase, Metal</t>
  </si>
  <si>
    <t>MX-2011-121202</t>
  </si>
  <si>
    <t>Christopher Martinez</t>
  </si>
  <si>
    <t>OFF-ST-10002471</t>
  </si>
  <si>
    <t>Smead Lockers, Single Width</t>
  </si>
  <si>
    <t>CA-2011-105417</t>
  </si>
  <si>
    <t>Vivek Sundaresam</t>
  </si>
  <si>
    <t>FUR-FU-10004864</t>
  </si>
  <si>
    <t>Howard Miller 14-1/2" Diameter Chrome Round Wall Clock</t>
  </si>
  <si>
    <t>OFF-BI-10002937</t>
  </si>
  <si>
    <t>Wilson Jones Binder Covers, Clear</t>
  </si>
  <si>
    <t>OFF-AR-10000110</t>
  </si>
  <si>
    <t>Binney &amp; Smith Sketch Pad, Blue</t>
  </si>
  <si>
    <t>NI-2011-4770</t>
  </si>
  <si>
    <t>Joe Elijah</t>
  </si>
  <si>
    <t>Lagos</t>
  </si>
  <si>
    <t>Nigeria</t>
  </si>
  <si>
    <t>OFF-AVE-10000608</t>
  </si>
  <si>
    <t>Avery Index Tab, Economy</t>
  </si>
  <si>
    <t>OFF-BI-10003708</t>
  </si>
  <si>
    <t>Acco Four Pocket Poly Ring Binder with Label Holder, Smoke, 1"</t>
  </si>
  <si>
    <t>ID-2011-20814</t>
  </si>
  <si>
    <t>Ed Braxton</t>
  </si>
  <si>
    <t>Jawa Timur</t>
  </si>
  <si>
    <t>TEC-PH-10001730</t>
  </si>
  <si>
    <t>Motorola Signal Booster, Full Size</t>
  </si>
  <si>
    <t>IN-2011-69366</t>
  </si>
  <si>
    <t>Alejandro Grove</t>
  </si>
  <si>
    <t>KiÃªn Giang</t>
  </si>
  <si>
    <t>TEC-AC-10000354</t>
  </si>
  <si>
    <t>Belkin Numeric Keypad, USB</t>
  </si>
  <si>
    <t>ID-2011-46483</t>
  </si>
  <si>
    <t>Sample Company A</t>
  </si>
  <si>
    <t>Calabarzon</t>
  </si>
  <si>
    <t>OFF-ST-10001342</t>
  </si>
  <si>
    <t>Fellowes Trays, Blue</t>
  </si>
  <si>
    <t>TEC-PH-10003823</t>
  </si>
  <si>
    <t>Apple Headset, Full Size</t>
  </si>
  <si>
    <t>OFF-FA-10000577</t>
  </si>
  <si>
    <t>Stockwell Push Pins, 12 Pack</t>
  </si>
  <si>
    <t>OFF-LA-10000668</t>
  </si>
  <si>
    <t>Smead Removable Labels, Adjustable</t>
  </si>
  <si>
    <t>OFF-PA-10003405</t>
  </si>
  <si>
    <t>Green Bar Memo Slips, Premium</t>
  </si>
  <si>
    <t>Data Cleaning</t>
  </si>
  <si>
    <t>Duplicate Value</t>
  </si>
  <si>
    <t>Missing value</t>
  </si>
  <si>
    <t>Total Sales</t>
  </si>
  <si>
    <t>Total Profit</t>
  </si>
  <si>
    <t>Total Orders</t>
  </si>
  <si>
    <t>Average Discount</t>
  </si>
  <si>
    <t>Category</t>
  </si>
  <si>
    <t xml:space="preserve"> Profit</t>
  </si>
  <si>
    <t>Sales</t>
  </si>
  <si>
    <t>Sub-Category</t>
  </si>
  <si>
    <t>Profit</t>
  </si>
  <si>
    <t>Grand Total</t>
  </si>
  <si>
    <t>Sum of sales</t>
  </si>
  <si>
    <t>Sum of profit</t>
  </si>
  <si>
    <t>(All)</t>
  </si>
  <si>
    <t>Sum of discount</t>
  </si>
  <si>
    <t>Pivot Tables</t>
  </si>
  <si>
    <t>Region</t>
  </si>
  <si>
    <t>Market</t>
  </si>
  <si>
    <t>Adavnce Formulas</t>
  </si>
  <si>
    <t xml:space="preserve">1. Vlookup </t>
  </si>
  <si>
    <t>Order_Id</t>
  </si>
  <si>
    <t>Customer_Name</t>
  </si>
  <si>
    <t>2. Index_Match</t>
  </si>
  <si>
    <t>Segment</t>
  </si>
  <si>
    <t>Country</t>
  </si>
  <si>
    <t>Product_ID</t>
  </si>
  <si>
    <t>Product Name</t>
  </si>
  <si>
    <t>Super-Store | Sales And Profit Dashboard</t>
  </si>
  <si>
    <t>SubCategory</t>
  </si>
  <si>
    <t>Sales &amp; Profit By Sub-Category</t>
  </si>
  <si>
    <t>Sales &amp; Profit By Category</t>
  </si>
  <si>
    <t>Sales &amp; Profit By Region</t>
  </si>
  <si>
    <t>Sales, Profit &amp; Discount By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</si>
</sst>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&quot;₹&quot;\ #,##0.0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name val="Arial"/>
      <family val="2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DF9C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0" fontId="0" fillId="0" borderId="0" xfId="0" applyNumberFormat="1" applyAlignment="1">
      <alignment horizontal="center" vertical="center"/>
    </xf>
    <xf numFmtId="10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0" fontId="0" fillId="0" borderId="4" xfId="0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NumberFormat="1"/>
    <xf numFmtId="0" fontId="0" fillId="4" borderId="0" xfId="0" applyFill="1"/>
    <xf numFmtId="0" fontId="1" fillId="4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NumberFormat="1" applyFont="1" applyFill="1"/>
    <xf numFmtId="0" fontId="2" fillId="4" borderId="0" xfId="0" applyFont="1" applyFill="1" applyAlignment="1">
      <alignment horizontal="center" vertical="center"/>
    </xf>
    <xf numFmtId="0" fontId="2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3" fillId="3" borderId="1" xfId="0" applyFont="1" applyFill="1" applyBorder="1"/>
    <xf numFmtId="0" fontId="5" fillId="3" borderId="1" xfId="1" applyFont="1" applyFill="1" applyBorder="1" applyAlignment="1">
      <alignment horizontal="center" vertical="center"/>
    </xf>
    <xf numFmtId="0" fontId="1" fillId="4" borderId="1" xfId="0" applyFont="1" applyFill="1" applyBorder="1"/>
    <xf numFmtId="0" fontId="8" fillId="4" borderId="1" xfId="1" applyFont="1" applyFill="1" applyBorder="1"/>
    <xf numFmtId="0" fontId="7" fillId="4" borderId="0" xfId="0" applyFont="1" applyFill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10" fontId="9" fillId="2" borderId="1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7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</cellXfs>
  <cellStyles count="2">
    <cellStyle name="Normal" xfId="0" builtinId="0"/>
    <cellStyle name="Normal 2" xfId="1"/>
  </cellStyles>
  <dxfs count="102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right" readingOrder="0"/>
    </dxf>
    <dxf>
      <alignment horizontal="right" readingOrder="0"/>
    </dxf>
    <dxf>
      <alignment horizontal="left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alignment horizont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4" tint="0.39994506668294322"/>
        </patternFill>
      </fill>
    </dxf>
  </dxfs>
  <tableStyles count="1" defaultTableStyle="TableStyleMedium2" defaultPivotStyle="PivotStyleLight16">
    <tableStyle name="Table Style 1" pivot="0" count="3">
      <tableStyleElement type="wholeTable" dxfId="101"/>
      <tableStyleElement type="headerRow" dxfId="100"/>
      <tableStyleElement type="firstColumn" dxfId="99"/>
    </tableStyle>
  </tableStyles>
  <colors>
    <mruColors>
      <color rgb="FFFDF9CF"/>
      <color rgb="FF121E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[Book1.xlsx]Pivot_Table!PivotTable5</c:name>
    <c:fmtId val="2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7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Pivot_Table!$F$5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Pivot_Table!$E$6:$E$23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Pivot_Table!$F$6:$F$23</c:f>
              <c:numCache>
                <c:formatCode>General</c:formatCode>
                <c:ptCount val="17"/>
                <c:pt idx="0">
                  <c:v>809</c:v>
                </c:pt>
                <c:pt idx="1">
                  <c:v>3428</c:v>
                </c:pt>
                <c:pt idx="2">
                  <c:v>853</c:v>
                </c:pt>
                <c:pt idx="3">
                  <c:v>704</c:v>
                </c:pt>
                <c:pt idx="4">
                  <c:v>6123</c:v>
                </c:pt>
                <c:pt idx="5">
                  <c:v>3507</c:v>
                </c:pt>
                <c:pt idx="6">
                  <c:v>1445</c:v>
                </c:pt>
                <c:pt idx="7">
                  <c:v>377</c:v>
                </c:pt>
                <c:pt idx="8">
                  <c:v>223</c:v>
                </c:pt>
                <c:pt idx="9">
                  <c:v>590</c:v>
                </c:pt>
                <c:pt idx="10">
                  <c:v>138</c:v>
                </c:pt>
                <c:pt idx="11">
                  <c:v>3321</c:v>
                </c:pt>
                <c:pt idx="12">
                  <c:v>190</c:v>
                </c:pt>
                <c:pt idx="13">
                  <c:v>1707</c:v>
                </c:pt>
                <c:pt idx="14">
                  <c:v>2966</c:v>
                </c:pt>
                <c:pt idx="15">
                  <c:v>350</c:v>
                </c:pt>
                <c:pt idx="16">
                  <c:v>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E-48F6-9268-5E4EC837B9BF}"/>
            </c:ext>
          </c:extLst>
        </c:ser>
        <c:ser>
          <c:idx val="1"/>
          <c:order val="1"/>
          <c:tx>
            <c:strRef>
              <c:f>Pivot_Table!$G$5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Pivot_Table!$E$6:$E$23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Pivot_Table!$G$6:$G$23</c:f>
              <c:numCache>
                <c:formatCode>General</c:formatCode>
                <c:ptCount val="17"/>
                <c:pt idx="0">
                  <c:v>-169.85720000000001</c:v>
                </c:pt>
                <c:pt idx="1">
                  <c:v>1152.672</c:v>
                </c:pt>
                <c:pt idx="2">
                  <c:v>80.864399999999989</c:v>
                </c:pt>
                <c:pt idx="3">
                  <c:v>271.0095</c:v>
                </c:pt>
                <c:pt idx="4">
                  <c:v>-25.63799999999992</c:v>
                </c:pt>
                <c:pt idx="5">
                  <c:v>884.51979999999992</c:v>
                </c:pt>
                <c:pt idx="6">
                  <c:v>-148.44576000000001</c:v>
                </c:pt>
                <c:pt idx="7">
                  <c:v>-66.396000000000001</c:v>
                </c:pt>
                <c:pt idx="8">
                  <c:v>-9.2285000000000021</c:v>
                </c:pt>
                <c:pt idx="9">
                  <c:v>50.000399999999992</c:v>
                </c:pt>
                <c:pt idx="10">
                  <c:v>46.048200000000001</c:v>
                </c:pt>
                <c:pt idx="11">
                  <c:v>153.03749999999999</c:v>
                </c:pt>
                <c:pt idx="12">
                  <c:v>17.049600000000002</c:v>
                </c:pt>
                <c:pt idx="13">
                  <c:v>383.85360000000003</c:v>
                </c:pt>
                <c:pt idx="14">
                  <c:v>313.9523999999999</c:v>
                </c:pt>
                <c:pt idx="15">
                  <c:v>90.956000000000003</c:v>
                </c:pt>
                <c:pt idx="16">
                  <c:v>-70.399500000000003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E-48F6-9268-5E4EC837B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828175"/>
        <c:axId val="1393825263"/>
      </c:lineChart>
      <c:catAx>
        <c:axId val="139382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825263"/>
        <c:crosses val="autoZero"/>
        <c:auto val="1"/>
        <c:lblAlgn val="ctr"/>
        <c:lblOffset val="100"/>
        <c:noMultiLvlLbl val="0"/>
      </c:catAx>
      <c:valAx>
        <c:axId val="139382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82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[Book1.xlsx]Pivot_Table!PivotTable1</c:name>
    <c:fmtId val="6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Pivot_Table!$A$4:$A$7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Pivot_Table!$B$4:$B$7</c:f>
              <c:numCache>
                <c:formatCode>General</c:formatCode>
                <c:ptCount val="3"/>
                <c:pt idx="0">
                  <c:v>10431</c:v>
                </c:pt>
                <c:pt idx="1">
                  <c:v>9229</c:v>
                </c:pt>
                <c:pt idx="2">
                  <c:v>7282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0-43E3-8D72-8EAF8D0F30C0}"/>
            </c:ext>
          </c:extLst>
        </c:ser>
        <c:ser>
          <c:idx val="1"/>
          <c:order val="1"/>
          <c:tx>
            <c:strRef>
              <c:f>Pivot_Table!$C$3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Pivot_Table!$A$4:$A$7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Pivot_Table!$C$4:$C$7</c:f>
              <c:numCache>
                <c:formatCode>General</c:formatCode>
                <c:ptCount val="3"/>
                <c:pt idx="0">
                  <c:v>838.48270000000036</c:v>
                </c:pt>
                <c:pt idx="1">
                  <c:v>1896.9275999999998</c:v>
                </c:pt>
                <c:pt idx="2">
                  <c:v>218.58813999999998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0-43E3-8D72-8EAF8D0F3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683423"/>
        <c:axId val="1192685919"/>
      </c:barChart>
      <c:catAx>
        <c:axId val="119268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685919"/>
        <c:crosses val="autoZero"/>
        <c:auto val="1"/>
        <c:lblAlgn val="ctr"/>
        <c:lblOffset val="100"/>
        <c:noMultiLvlLbl val="0"/>
      </c:catAx>
      <c:valAx>
        <c:axId val="119268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68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[Book1.xlsx]Pivot_Table!PivotTable2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2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2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layout>
            <c:manualLayout>
              <c:x val="1.9823788546255588E-2"/>
              <c:y val="3.2407407407407406E-2"/>
            </c:manualLayout>
          </c:layout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layout>
            <c:manualLayout>
              <c:x val="4.4052863436123352E-3"/>
              <c:y val="-4.6296296296296294E-3"/>
            </c:manualLayout>
          </c:layout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9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4.4052863436123352E-3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0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9823788546255588E-2"/>
              <c:y val="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1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3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4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5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6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7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8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9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0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Pivot_Table!$B$11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594-44A5-985D-4D1440F6D6F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594-44A5-985D-4D1440F6D6FC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594-44A5-985D-4D1440F6D6FC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594-44A5-985D-4D1440F6D6FC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594-44A5-985D-4D1440F6D6FC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594-44A5-985D-4D1440F6D6FC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594-44A5-985D-4D1440F6D6FC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594-44A5-985D-4D1440F6D6FC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594-44A5-985D-4D1440F6D6FC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594-44A5-985D-4D1440F6D6FC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594-44A5-985D-4D1440F6D6F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594-44A5-985D-4D1440F6D6F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594-44A5-985D-4D1440F6D6FC}"/>
                </c:ext>
              </c:extLst>
            </c:dLbl>
            <c:dLbl>
              <c:idx val="1"/>
              <c:layout>
                <c:manualLayout>
                  <c:x val="4.4052863436123352E-3"/>
                  <c:y val="-4.629629629629629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594-44A5-985D-4D1440F6D6FC}"/>
                </c:ext>
              </c:extLst>
            </c:dLbl>
            <c:dLbl>
              <c:idx val="2"/>
              <c:layout>
                <c:manualLayout>
                  <c:x val="1.9823788546255588E-2"/>
                  <c:y val="3.24074074074074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594-44A5-985D-4D1440F6D6F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D594-44A5-985D-4D1440F6D6F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D594-44A5-985D-4D1440F6D6F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D594-44A5-985D-4D1440F6D6FC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D594-44A5-985D-4D1440F6D6FC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D594-44A5-985D-4D1440F6D6FC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D594-44A5-985D-4D1440F6D6FC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D594-44A5-985D-4D1440F6D6FC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D594-44A5-985D-4D1440F6D6FC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D594-44A5-985D-4D1440F6D6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Pivot_Table!$A$12:$A$24</c:f>
              <c:strCache>
                <c:ptCount val="12"/>
                <c:pt idx="0">
                  <c:v>Africa</c:v>
                </c:pt>
                <c:pt idx="1">
                  <c:v>Canada</c:v>
                </c:pt>
                <c:pt idx="2">
                  <c:v>Caribbean</c:v>
                </c:pt>
                <c:pt idx="3">
                  <c:v>Central</c:v>
                </c:pt>
                <c:pt idx="4">
                  <c:v>East</c:v>
                </c:pt>
                <c:pt idx="5">
                  <c:v>EMEA</c:v>
                </c:pt>
                <c:pt idx="6">
                  <c:v>North</c:v>
                </c:pt>
                <c:pt idx="7">
                  <c:v>North Asia</c:v>
                </c:pt>
                <c:pt idx="8">
                  <c:v>Oceania</c:v>
                </c:pt>
                <c:pt idx="9">
                  <c:v>South</c:v>
                </c:pt>
                <c:pt idx="10">
                  <c:v>Southeast Asia</c:v>
                </c:pt>
                <c:pt idx="11">
                  <c:v>West</c:v>
                </c:pt>
              </c:strCache>
            </c:strRef>
          </c:cat>
          <c:val>
            <c:numRef>
              <c:f>Pivot_Table!$B$12:$B$24</c:f>
              <c:numCache>
                <c:formatCode>General</c:formatCode>
                <c:ptCount val="12"/>
                <c:pt idx="0">
                  <c:v>3414</c:v>
                </c:pt>
                <c:pt idx="1">
                  <c:v>314</c:v>
                </c:pt>
                <c:pt idx="2">
                  <c:v>301</c:v>
                </c:pt>
                <c:pt idx="3">
                  <c:v>3807</c:v>
                </c:pt>
                <c:pt idx="4">
                  <c:v>20</c:v>
                </c:pt>
                <c:pt idx="5">
                  <c:v>1234</c:v>
                </c:pt>
                <c:pt idx="6">
                  <c:v>4361</c:v>
                </c:pt>
                <c:pt idx="7">
                  <c:v>2281</c:v>
                </c:pt>
                <c:pt idx="8">
                  <c:v>1810</c:v>
                </c:pt>
                <c:pt idx="9">
                  <c:v>6321</c:v>
                </c:pt>
                <c:pt idx="10">
                  <c:v>3060</c:v>
                </c:pt>
                <c:pt idx="1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594-44A5-985D-4D1440F6D6FC}"/>
            </c:ext>
          </c:extLst>
        </c:ser>
        <c:ser>
          <c:idx val="1"/>
          <c:order val="1"/>
          <c:tx>
            <c:strRef>
              <c:f>Pivot_Table!$C$11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D594-44A5-985D-4D1440F6D6F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D594-44A5-985D-4D1440F6D6FC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D594-44A5-985D-4D1440F6D6FC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D594-44A5-985D-4D1440F6D6FC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D594-44A5-985D-4D1440F6D6FC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D594-44A5-985D-4D1440F6D6FC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D594-44A5-985D-4D1440F6D6FC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D594-44A5-985D-4D1440F6D6FC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D594-44A5-985D-4D1440F6D6FC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D594-44A5-985D-4D1440F6D6FC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D594-44A5-985D-4D1440F6D6F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D594-44A5-985D-4D1440F6D6F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A-D594-44A5-985D-4D1440F6D6F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C-D594-44A5-985D-4D1440F6D6F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E-D594-44A5-985D-4D1440F6D6F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0-D594-44A5-985D-4D1440F6D6F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2-D594-44A5-985D-4D1440F6D6F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4-D594-44A5-985D-4D1440F6D6FC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6-D594-44A5-985D-4D1440F6D6FC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8-D594-44A5-985D-4D1440F6D6FC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A-D594-44A5-985D-4D1440F6D6FC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C-D594-44A5-985D-4D1440F6D6FC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E-D594-44A5-985D-4D1440F6D6FC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0-D594-44A5-985D-4D1440F6D6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Pivot_Table!$A$12:$A$24</c:f>
              <c:strCache>
                <c:ptCount val="12"/>
                <c:pt idx="0">
                  <c:v>Africa</c:v>
                </c:pt>
                <c:pt idx="1">
                  <c:v>Canada</c:v>
                </c:pt>
                <c:pt idx="2">
                  <c:v>Caribbean</c:v>
                </c:pt>
                <c:pt idx="3">
                  <c:v>Central</c:v>
                </c:pt>
                <c:pt idx="4">
                  <c:v>East</c:v>
                </c:pt>
                <c:pt idx="5">
                  <c:v>EMEA</c:v>
                </c:pt>
                <c:pt idx="6">
                  <c:v>North</c:v>
                </c:pt>
                <c:pt idx="7">
                  <c:v>North Asia</c:v>
                </c:pt>
                <c:pt idx="8">
                  <c:v>Oceania</c:v>
                </c:pt>
                <c:pt idx="9">
                  <c:v>South</c:v>
                </c:pt>
                <c:pt idx="10">
                  <c:v>Southeast Asia</c:v>
                </c:pt>
                <c:pt idx="11">
                  <c:v>West</c:v>
                </c:pt>
              </c:strCache>
            </c:strRef>
          </c:cat>
          <c:val>
            <c:numRef>
              <c:f>Pivot_Table!$C$12:$C$24</c:f>
              <c:numCache>
                <c:formatCode>General</c:formatCode>
                <c:ptCount val="12"/>
                <c:pt idx="0">
                  <c:v>264.37800000000004</c:v>
                </c:pt>
                <c:pt idx="1">
                  <c:v>3.12</c:v>
                </c:pt>
                <c:pt idx="2">
                  <c:v>20.399999999999999</c:v>
                </c:pt>
                <c:pt idx="3">
                  <c:v>-616.85400000000004</c:v>
                </c:pt>
                <c:pt idx="4">
                  <c:v>4.8840000000000003</c:v>
                </c:pt>
                <c:pt idx="5">
                  <c:v>442.40999999999997</c:v>
                </c:pt>
                <c:pt idx="6">
                  <c:v>1303.49324</c:v>
                </c:pt>
                <c:pt idx="7">
                  <c:v>310.53000000000003</c:v>
                </c:pt>
                <c:pt idx="8">
                  <c:v>-233.82900000000001</c:v>
                </c:pt>
                <c:pt idx="9">
                  <c:v>1887.2651999999998</c:v>
                </c:pt>
                <c:pt idx="10">
                  <c:v>-441.13019999999995</c:v>
                </c:pt>
                <c:pt idx="11">
                  <c:v>9.3312000000000008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594-44A5-985D-4D1440F6D6F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[Book1.xlsx]Pivot_Table!PivotTable3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Pivot_Table!$B$26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Pivot_Table!$A$27:$A$34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Pivot_Table!$B$27:$B$34</c:f>
              <c:numCache>
                <c:formatCode>General</c:formatCode>
                <c:ptCount val="7"/>
                <c:pt idx="0">
                  <c:v>3414</c:v>
                </c:pt>
                <c:pt idx="1">
                  <c:v>7151</c:v>
                </c:pt>
                <c:pt idx="2">
                  <c:v>314</c:v>
                </c:pt>
                <c:pt idx="3">
                  <c:v>1234</c:v>
                </c:pt>
                <c:pt idx="4">
                  <c:v>3716</c:v>
                </c:pt>
                <c:pt idx="5">
                  <c:v>6294</c:v>
                </c:pt>
                <c:pt idx="6">
                  <c:v>4819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C-4274-ABD1-B654E5C75D12}"/>
            </c:ext>
          </c:extLst>
        </c:ser>
        <c:ser>
          <c:idx val="1"/>
          <c:order val="1"/>
          <c:tx>
            <c:strRef>
              <c:f>Pivot_Table!$C$26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Pivot_Table!$A$27:$A$34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Pivot_Table!$C$27:$C$34</c:f>
              <c:numCache>
                <c:formatCode>General</c:formatCode>
                <c:ptCount val="7"/>
                <c:pt idx="0">
                  <c:v>0.7</c:v>
                </c:pt>
                <c:pt idx="1">
                  <c:v>8.7299999999999986</c:v>
                </c:pt>
                <c:pt idx="2">
                  <c:v>0</c:v>
                </c:pt>
                <c:pt idx="3">
                  <c:v>0</c:v>
                </c:pt>
                <c:pt idx="4">
                  <c:v>3.3000000000000003</c:v>
                </c:pt>
                <c:pt idx="5">
                  <c:v>0.60199999999999998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4C-4274-ABD1-B654E5C75D12}"/>
            </c:ext>
          </c:extLst>
        </c:ser>
        <c:ser>
          <c:idx val="2"/>
          <c:order val="2"/>
          <c:tx>
            <c:strRef>
              <c:f>Pivot_Table!$D$26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Pivot_Table!$A$27:$A$34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Pivot_Table!$D$27:$D$34</c:f>
              <c:numCache>
                <c:formatCode>General</c:formatCode>
                <c:ptCount val="7"/>
                <c:pt idx="0">
                  <c:v>264.37800000000004</c:v>
                </c:pt>
                <c:pt idx="1">
                  <c:v>-364.42919999999992</c:v>
                </c:pt>
                <c:pt idx="2">
                  <c:v>3.12</c:v>
                </c:pt>
                <c:pt idx="3">
                  <c:v>442.40999999999997</c:v>
                </c:pt>
                <c:pt idx="4">
                  <c:v>-490.72799999999995</c:v>
                </c:pt>
                <c:pt idx="5">
                  <c:v>1868.7122399999998</c:v>
                </c:pt>
                <c:pt idx="6">
                  <c:v>1230.5354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4C-4274-ABD1-B654E5C75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8262799"/>
        <c:axId val="1418264047"/>
      </c:barChart>
      <c:catAx>
        <c:axId val="1418262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264047"/>
        <c:crosses val="autoZero"/>
        <c:auto val="1"/>
        <c:lblAlgn val="ctr"/>
        <c:lblOffset val="100"/>
        <c:noMultiLvlLbl val="0"/>
      </c:catAx>
      <c:valAx>
        <c:axId val="141826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26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9</xdr:col>
      <xdr:colOff>12700</xdr:colOff>
      <xdr:row>21</xdr:row>
      <xdr:rowOff>12700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4</xdr:row>
      <xdr:rowOff>177800</xdr:rowOff>
    </xdr:from>
    <xdr:to>
      <xdr:col>18</xdr:col>
      <xdr:colOff>387350</xdr:colOff>
      <xdr:row>20</xdr:row>
      <xdr:rowOff>177800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9</xdr:col>
      <xdr:colOff>0</xdr:colOff>
      <xdr:row>41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18</xdr:col>
      <xdr:colOff>374650</xdr:colOff>
      <xdr:row>41</xdr:row>
      <xdr:rowOff>12700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" refreshedDate="46317.763632407405" createdVersion="6" refreshedVersion="6" minRefreshableVersion="3" recordCount="99">
  <cacheSource type="worksheet">
    <worksheetSource ref="A1:U100" sheet="Dataset"/>
  </cacheSource>
  <cacheFields count="21">
    <cacheField name="order_id" numFmtId="0">
      <sharedItems/>
    </cacheField>
    <cacheField name="order_date" numFmtId="164">
      <sharedItems containsSemiMixedTypes="0" containsNonDate="0" containsDate="1" containsString="0" minDate="2011-01-01T00:00:00" maxDate="2011-01-10T00:00:00" count="9">
        <d v="2011-01-05T00:00:00"/>
        <d v="2011-01-07T00:00:00"/>
        <d v="2011-01-03T00:00:00"/>
        <d v="2011-01-01T00:00:00"/>
        <d v="2011-01-04T00:00:00"/>
        <d v="2011-01-06T00:00:00"/>
        <d v="2011-01-08T00:00:00"/>
        <d v="2011-01-02T00:00:00"/>
        <d v="2011-01-09T00:00:00"/>
      </sharedItems>
    </cacheField>
    <cacheField name="ship_date" numFmtId="164">
      <sharedItems containsSemiMixedTypes="0" containsNonDate="0" containsDate="1" containsString="0" minDate="2011-01-03T00:00:00" maxDate="2011-01-15T00:00:00"/>
    </cacheField>
    <cacheField name="ship_mode" numFmtId="0">
      <sharedItems count="4">
        <s v="First Class"/>
        <s v="Same Day"/>
        <s v="Second Class"/>
        <s v="Standard Class"/>
      </sharedItems>
    </cacheField>
    <cacheField name="customer_name" numFmtId="0">
      <sharedItems/>
    </cacheField>
    <cacheField name="segment" numFmtId="0">
      <sharedItems count="3">
        <s v="Home Office"/>
        <s v="Consumer"/>
        <s v="Corporate"/>
      </sharedItems>
    </cacheField>
    <cacheField name="state" numFmtId="0">
      <sharedItems count="50">
        <s v="RhÃ´ne-Alpes"/>
        <s v="Niassa"/>
        <s v="Provence-Alpes-CÃ´te d'Azur"/>
        <s v="Georgia"/>
        <s v="Groningen"/>
        <s v="New South Wales"/>
        <s v="SÃ£o Paulo"/>
        <s v="Budapest"/>
        <s v="Stockholm"/>
        <s v="National Capital"/>
        <s v="Razavi Khorasan"/>
        <s v="Parana"/>
        <s v="Ile-de-France"/>
        <s v="California"/>
        <s v="Yunnan"/>
        <s v="Guatemala"/>
        <s v="Lagos"/>
        <s v="Constantine"/>
        <s v="Ontario"/>
        <s v="Auckland"/>
        <s v="Ninawa"/>
        <s v="England"/>
        <s v="Sarawak"/>
        <s v="Yazd"/>
        <s v="Nakhon Ratchasima"/>
        <s v="Dar Es Salaam"/>
        <s v="YucatÃ¡n"/>
        <s v="Granma"/>
        <s v="Alagoas"/>
        <s v="Santiago de Cuba"/>
        <s v="Texas"/>
        <s v="Tottori"/>
        <s v="Khartoum"/>
        <s v="Veracruz"/>
        <s v="Illinois"/>
        <s v="Taipei City"/>
        <s v="Sumatera Barat"/>
        <s v="Ho ChÃ­ Minh City"/>
        <s v="Luanda"/>
        <s v="Jilin"/>
        <s v="Pennsylvania"/>
        <s v="Kentucky"/>
        <s v="Beirut"/>
        <s v="Alger"/>
        <s v="Singapore"/>
        <s v="Benguela"/>
        <s v="Midi-PyrÃ©nÃ©es"/>
        <s v="Jawa Timur"/>
        <s v="KiÃªn Giang"/>
        <s v="Calabarzon"/>
      </sharedItems>
    </cacheField>
    <cacheField name="country" numFmtId="0">
      <sharedItems count="31">
        <s v="France"/>
        <s v="Mozambique"/>
        <s v="United States"/>
        <s v="Netherlands"/>
        <s v="Australia"/>
        <s v="Brazil"/>
        <s v="Hungary"/>
        <s v="Sweden"/>
        <s v="Philippines"/>
        <s v="Iran"/>
        <s v="China"/>
        <s v="Guatemala"/>
        <s v="Nigeria"/>
        <s v="Algeria"/>
        <s v="Canada"/>
        <s v="New Zealand"/>
        <s v="Iraq"/>
        <s v="United Kingdom"/>
        <s v="Malaysia"/>
        <s v="Thailand"/>
        <s v="Tanzania"/>
        <s v="Mexico"/>
        <s v="Cuba"/>
        <s v="Japan"/>
        <s v="Sudan"/>
        <s v="Taiwan"/>
        <s v="Indonesia"/>
        <s v="Vietnam"/>
        <s v="Angola"/>
        <s v="Lebanon"/>
        <s v="Singapore"/>
      </sharedItems>
    </cacheField>
    <cacheField name="market" numFmtId="0">
      <sharedItems count="7">
        <s v="EU"/>
        <s v="Africa"/>
        <s v="US"/>
        <s v="APAC"/>
        <s v="LATAM"/>
        <s v="EMEA"/>
        <s v="Canada"/>
      </sharedItems>
    </cacheField>
    <cacheField name="region" numFmtId="0">
      <sharedItems count="12">
        <s v="Central"/>
        <s v="Africa"/>
        <s v="South"/>
        <s v="Oceania"/>
        <s v="EMEA"/>
        <s v="North"/>
        <s v="Southeast Asia"/>
        <s v="West"/>
        <s v="North Asia"/>
        <s v="Canada"/>
        <s v="Caribbean"/>
        <s v="East"/>
      </sharedItems>
    </cacheField>
    <cacheField name="product_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7">
        <s v="Art"/>
        <s v="Storage"/>
        <s v="Fasteners"/>
        <s v="Bookcases"/>
        <s v="Appliances"/>
        <s v="Labels"/>
        <s v="Binders"/>
        <s v="Paper"/>
        <s v="Tables"/>
        <s v="Supplies"/>
        <s v="Furnishings"/>
        <s v="Machines"/>
        <s v="Copiers"/>
        <s v="Chairs"/>
        <s v="Phones"/>
        <s v="Accessories"/>
        <s v="Envelopes"/>
      </sharedItems>
    </cacheField>
    <cacheField name="product_name" numFmtId="0">
      <sharedItems/>
    </cacheField>
    <cacheField name="sales" numFmtId="165">
      <sharedItems containsSemiMixedTypes="0" containsString="0" containsNumber="1" containsInteger="1" minValue="4" maxValue="3029"/>
    </cacheField>
    <cacheField name="quantity" numFmtId="0">
      <sharedItems containsSemiMixedTypes="0" containsString="0" containsNumber="1" containsInteger="1" minValue="1" maxValue="9"/>
    </cacheField>
    <cacheField name="discount" numFmtId="10">
      <sharedItems containsSemiMixedTypes="0" containsString="0" containsNumber="1" minValue="0" maxValue="0.8"/>
    </cacheField>
    <cacheField name="profit" numFmtId="165">
      <sharedItems containsSemiMixedTypes="0" containsString="0" containsNumber="1" minValue="-1011.636" maxValue="999.36" count="99">
        <n v="76.56"/>
        <n v="20.52"/>
        <n v="46.02"/>
        <n v="143.16"/>
        <n v="8.49"/>
        <n v="2.25"/>
        <n v="36.228000000000002"/>
        <n v="5.2397999999999998"/>
        <n v="-0.105"/>
        <n v="110.41200000000001"/>
        <n v="4.7430000000000003"/>
        <n v="6"/>
        <n v="2.4"/>
        <n v="29.64"/>
        <n v="-26.055"/>
        <n v="-122.8005"/>
        <n v="-70.399500000000003"/>
        <n v="7.77"/>
        <n v="0.54600000000000004"/>
        <n v="609.84"/>
        <n v="28.16"/>
        <n v="35.64"/>
        <n v="9.3312000000000008"/>
        <n v="260.82"/>
        <n v="182.52"/>
        <n v="20.3"/>
        <n v="-4.5419999999999998"/>
        <n v="106.14"/>
        <n v="36.036000000000001"/>
        <n v="37.770000000000003"/>
        <n v="15.342000000000001"/>
        <n v="3.12"/>
        <n v="-319.464"/>
        <n v="253.32"/>
        <n v="290.43"/>
        <n v="50.13"/>
        <n v="-95.676000000000002"/>
        <n v="44.88"/>
        <n v="42.9"/>
        <n v="3.42"/>
        <n v="-26.411999999999999"/>
        <n v="-45.901800000000001"/>
        <n v="8.6999999999999993"/>
        <n v="26.76"/>
        <n v="17.07"/>
        <n v="4.17"/>
        <n v="13.28"/>
        <n v="3.6"/>
        <n v="20.88"/>
        <n v="49.428240000000002"/>
        <n v="-107.85599999999999"/>
        <n v="6.88"/>
        <n v="2.2400000000000002"/>
        <n v="7.68"/>
        <n v="-21.9"/>
        <n v="5.5511999999999997"/>
        <n v="13.68"/>
        <n v="-1.05"/>
        <n v="2.61"/>
        <n v="2.1"/>
        <n v="999.36"/>
        <n v="-64.774799999999999"/>
        <n v="22.92"/>
        <n v="4.2717000000000001"/>
        <n v="-5.4870000000000001"/>
        <n v="6.0084"/>
        <n v="29.268599999999999"/>
        <n v="-27.094200000000001"/>
        <n v="11.5893"/>
        <n v="12.72"/>
        <n v="13.11"/>
        <n v="4.8840000000000003"/>
        <n v="746.40779999999995"/>
        <n v="274.49099999999999"/>
        <n v="113.6742"/>
        <n v="-136.71"/>
        <n v="-44.838000000000001"/>
        <n v="25.807500000000001"/>
        <n v="71.459999999999994"/>
        <n v="204.10919999999999"/>
        <n v="14.58"/>
        <n v="-4.4939999999999998"/>
        <n v="7.38"/>
        <n v="0.31119999999999998"/>
        <n v="3.0084"/>
        <n v="5.46"/>
        <n v="1.4796"/>
        <n v="49.5"/>
        <n v="-1011.636"/>
        <n v="-53.709600000000002"/>
        <n v="-55.65"/>
        <n v="-18.252500000000001"/>
        <n v="-11.6028"/>
        <n v="-156.67920000000001"/>
        <n v="-2.9775"/>
        <n v="32.792999999999999"/>
        <n v="4.5884999999999998"/>
        <n v="17.8935"/>
        <n v="-1.7175"/>
      </sharedItems>
    </cacheField>
    <cacheField name="shipping_cost" numFmtId="0">
      <sharedItems containsSemiMixedTypes="0" containsString="0" containsNumber="1" minValue="0.28000000000000003" maxValue="349.87"/>
    </cacheField>
    <cacheField name="order_priority" numFmtId="0">
      <sharedItems/>
    </cacheField>
    <cacheField name="year" numFmtId="0">
      <sharedItems containsSemiMixedTypes="0" containsString="0" containsNumber="1" containsInteger="1" minValue="2011" maxValue="20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s v="ES-2011-3848439"/>
    <x v="0"/>
    <d v="2011-01-07T00:00:00"/>
    <x v="0"/>
    <s v="Michael Granlund"/>
    <x v="0"/>
    <x v="0"/>
    <x v="0"/>
    <x v="0"/>
    <x v="0"/>
    <s v="OFF-AR-10001291"/>
    <x v="0"/>
    <x v="0"/>
    <s v="Sanford Canvas, Fluorescent"/>
    <n v="207"/>
    <n v="4"/>
    <n v="0"/>
    <x v="0"/>
    <n v="20.64"/>
    <s v="Medium"/>
    <n v="2011"/>
  </r>
  <r>
    <s v="ES-2011-3848439"/>
    <x v="0"/>
    <d v="2011-01-07T00:00:00"/>
    <x v="0"/>
    <s v="Michael Granlund"/>
    <x v="0"/>
    <x v="0"/>
    <x v="0"/>
    <x v="0"/>
    <x v="0"/>
    <s v="OFF-AR-10000833"/>
    <x v="0"/>
    <x v="0"/>
    <s v="Binney &amp; Smith Pencil Sharpener, Water Color"/>
    <n v="90"/>
    <n v="3"/>
    <n v="0"/>
    <x v="1"/>
    <n v="15.27"/>
    <s v="Medium"/>
    <n v="2011"/>
  </r>
  <r>
    <s v="MZ-2011-1260"/>
    <x v="1"/>
    <d v="2011-01-10T00:00:00"/>
    <x v="0"/>
    <s v="Stewart Visinsky"/>
    <x v="1"/>
    <x v="1"/>
    <x v="1"/>
    <x v="1"/>
    <x v="1"/>
    <s v="OFF-ELD-10001694"/>
    <x v="0"/>
    <x v="1"/>
    <s v="Eldon File Cart, Single Width"/>
    <n v="256"/>
    <n v="2"/>
    <n v="0"/>
    <x v="2"/>
    <n v="52.46"/>
    <s v="High"/>
    <n v="2011"/>
  </r>
  <r>
    <s v="ES-2011-5433855"/>
    <x v="1"/>
    <d v="2011-01-08T00:00:00"/>
    <x v="0"/>
    <s v="Dave Poirier"/>
    <x v="2"/>
    <x v="2"/>
    <x v="0"/>
    <x v="0"/>
    <x v="0"/>
    <s v="OFF-ST-10004855"/>
    <x v="0"/>
    <x v="1"/>
    <s v="Smead Lockers, Industrial"/>
    <n v="716"/>
    <n v="4"/>
    <n v="0.1"/>
    <x v="3"/>
    <n v="32.46"/>
    <s v="Medium"/>
    <n v="2011"/>
  </r>
  <r>
    <s v="MZ-2011-1260"/>
    <x v="1"/>
    <d v="2011-01-10T00:00:00"/>
    <x v="0"/>
    <s v="Stewart Visinsky"/>
    <x v="1"/>
    <x v="1"/>
    <x v="1"/>
    <x v="1"/>
    <x v="1"/>
    <s v="OFF-STA-10004885"/>
    <x v="0"/>
    <x v="0"/>
    <s v="Stanley Sketch Pad, Easy-Erase"/>
    <n v="45"/>
    <n v="1"/>
    <n v="0"/>
    <x v="4"/>
    <n v="13.7"/>
    <s v="High"/>
    <n v="2011"/>
  </r>
  <r>
    <s v="ES-2011-5433855"/>
    <x v="1"/>
    <d v="2011-01-08T00:00:00"/>
    <x v="0"/>
    <s v="Dave Poirier"/>
    <x v="2"/>
    <x v="2"/>
    <x v="0"/>
    <x v="0"/>
    <x v="0"/>
    <s v="OFF-FA-10002071"/>
    <x v="0"/>
    <x v="2"/>
    <s v="Accos Thumb Tacks, Assorted Sizes"/>
    <n v="33"/>
    <n v="3"/>
    <n v="0"/>
    <x v="5"/>
    <n v="9.73"/>
    <s v="Medium"/>
    <n v="2011"/>
  </r>
  <r>
    <s v="ES-2011-5433855"/>
    <x v="1"/>
    <d v="2011-01-08T00:00:00"/>
    <x v="0"/>
    <s v="Dave Poirier"/>
    <x v="2"/>
    <x v="2"/>
    <x v="0"/>
    <x v="0"/>
    <x v="0"/>
    <s v="FUR-BO-10000265"/>
    <x v="1"/>
    <x v="3"/>
    <s v="Bush Floating Shelf Set, Pine"/>
    <n v="155"/>
    <n v="1"/>
    <n v="0.1"/>
    <x v="6"/>
    <n v="5.72"/>
    <s v="Medium"/>
    <n v="2011"/>
  </r>
  <r>
    <s v="CA-2011-106054"/>
    <x v="1"/>
    <d v="2011-01-08T00:00:00"/>
    <x v="0"/>
    <s v="Jack O'Briant"/>
    <x v="2"/>
    <x v="3"/>
    <x v="2"/>
    <x v="2"/>
    <x v="2"/>
    <s v="OFF-AR-10002399"/>
    <x v="0"/>
    <x v="0"/>
    <s v="Dixon Prang Watercolor Pencils, 10-Color Set with Brush"/>
    <n v="13"/>
    <n v="3"/>
    <n v="0"/>
    <x v="7"/>
    <n v="3.51"/>
    <s v="Critical"/>
    <n v="2011"/>
  </r>
  <r>
    <s v="IT-2011-5134922"/>
    <x v="1"/>
    <d v="2011-01-10T00:00:00"/>
    <x v="0"/>
    <s v="Joy Smith"/>
    <x v="1"/>
    <x v="4"/>
    <x v="3"/>
    <x v="0"/>
    <x v="0"/>
    <s v="OFF-AR-10000316"/>
    <x v="0"/>
    <x v="0"/>
    <s v="Stanley Pens, Blue"/>
    <n v="5"/>
    <n v="1"/>
    <n v="0.5"/>
    <x v="8"/>
    <n v="0.28000000000000003"/>
    <s v="Medium"/>
    <n v="2011"/>
  </r>
  <r>
    <s v="IN-2011-79397"/>
    <x v="2"/>
    <d v="2011-01-03T00:00:00"/>
    <x v="1"/>
    <s v="Kean Nguyen"/>
    <x v="2"/>
    <x v="5"/>
    <x v="4"/>
    <x v="3"/>
    <x v="3"/>
    <s v="OFF-AP-10000304"/>
    <x v="0"/>
    <x v="4"/>
    <s v="Hoover Microwave, White"/>
    <n v="276"/>
    <n v="1"/>
    <n v="0.1"/>
    <x v="9"/>
    <n v="125.32"/>
    <s v="Critical"/>
    <n v="2011"/>
  </r>
  <r>
    <s v="IN-2011-79397"/>
    <x v="2"/>
    <d v="2011-01-03T00:00:00"/>
    <x v="1"/>
    <s v="Kean Nguyen"/>
    <x v="2"/>
    <x v="5"/>
    <x v="4"/>
    <x v="3"/>
    <x v="3"/>
    <s v="OFF-LA-10003396"/>
    <x v="0"/>
    <x v="5"/>
    <s v="Avery Color Coded Labels, Laser Printer Compatible"/>
    <n v="36"/>
    <n v="3"/>
    <n v="0.1"/>
    <x v="10"/>
    <n v="7.46"/>
    <s v="Critical"/>
    <n v="2011"/>
  </r>
  <r>
    <s v="MX-2011-135629"/>
    <x v="1"/>
    <d v="2011-01-07T00:00:00"/>
    <x v="1"/>
    <s v="Dorothy Dickinson"/>
    <x v="1"/>
    <x v="6"/>
    <x v="5"/>
    <x v="4"/>
    <x v="2"/>
    <s v="OFF-FA-10001871"/>
    <x v="0"/>
    <x v="2"/>
    <s v="Stockwell Rubber Bands, Bulk Pack"/>
    <n v="43"/>
    <n v="4"/>
    <n v="0"/>
    <x v="11"/>
    <n v="3.94"/>
    <s v="High"/>
    <n v="2011"/>
  </r>
  <r>
    <s v="MX-2011-135629"/>
    <x v="1"/>
    <d v="2011-01-07T00:00:00"/>
    <x v="1"/>
    <s v="Dorothy Dickinson"/>
    <x v="1"/>
    <x v="6"/>
    <x v="5"/>
    <x v="4"/>
    <x v="2"/>
    <s v="OFF-BI-10000136"/>
    <x v="0"/>
    <x v="6"/>
    <s v="Ibico Index Tab, Durable"/>
    <n v="19"/>
    <n v="3"/>
    <n v="0"/>
    <x v="12"/>
    <n v="3.69"/>
    <s v="High"/>
    <n v="2011"/>
  </r>
  <r>
    <s v="HU-2011-1220"/>
    <x v="3"/>
    <d v="2011-01-05T00:00:00"/>
    <x v="2"/>
    <s v="Annie Thurman"/>
    <x v="1"/>
    <x v="7"/>
    <x v="6"/>
    <x v="5"/>
    <x v="4"/>
    <s v="OFF-TEN-10001585"/>
    <x v="0"/>
    <x v="1"/>
    <s v="Tenex Box, Single Width"/>
    <n v="66"/>
    <n v="4"/>
    <n v="0"/>
    <x v="13"/>
    <n v="8.17"/>
    <s v="High"/>
    <n v="2011"/>
  </r>
  <r>
    <s v="IT-2011-3647632"/>
    <x v="3"/>
    <d v="2011-01-05T00:00:00"/>
    <x v="2"/>
    <s v="Eugene Moren"/>
    <x v="0"/>
    <x v="8"/>
    <x v="7"/>
    <x v="0"/>
    <x v="5"/>
    <s v="OFF-PA-10001492"/>
    <x v="0"/>
    <x v="7"/>
    <s v="Enermax Note Cards, Premium"/>
    <n v="45"/>
    <n v="3"/>
    <n v="0.5"/>
    <x v="14"/>
    <n v="4.82"/>
    <s v="High"/>
    <n v="2011"/>
  </r>
  <r>
    <s v="IN-2011-65159"/>
    <x v="2"/>
    <d v="2011-01-07T00:00:00"/>
    <x v="2"/>
    <s v="Larry Blacks"/>
    <x v="1"/>
    <x v="9"/>
    <x v="8"/>
    <x v="3"/>
    <x v="6"/>
    <s v="OFF-ST-10003020"/>
    <x v="0"/>
    <x v="1"/>
    <s v="Tenex Lockers, Industrial"/>
    <n v="338"/>
    <n v="3"/>
    <n v="0.45"/>
    <x v="15"/>
    <n v="33.75"/>
    <s v="High"/>
    <n v="2011"/>
  </r>
  <r>
    <s v="IN-2011-65159"/>
    <x v="2"/>
    <d v="2011-01-07T00:00:00"/>
    <x v="2"/>
    <s v="Larry Blacks"/>
    <x v="1"/>
    <x v="9"/>
    <x v="8"/>
    <x v="3"/>
    <x v="6"/>
    <s v="FUR-TA-10002797"/>
    <x v="1"/>
    <x v="8"/>
    <s v="Chromcraft Round Table, Adjustable Height"/>
    <n v="211"/>
    <n v="1"/>
    <n v="0.55000000000000004"/>
    <x v="16"/>
    <n v="21.32"/>
    <s v="High"/>
    <n v="2011"/>
  </r>
  <r>
    <s v="IR-2011-7690"/>
    <x v="2"/>
    <d v="2011-01-08T00:00:00"/>
    <x v="2"/>
    <s v="Nat Gilpin"/>
    <x v="2"/>
    <x v="10"/>
    <x v="9"/>
    <x v="5"/>
    <x v="4"/>
    <s v="OFF-BIC-10000582"/>
    <x v="0"/>
    <x v="0"/>
    <s v="BIC Sketch Pad, Water Color"/>
    <n v="52"/>
    <n v="1"/>
    <n v="0"/>
    <x v="17"/>
    <n v="5.91"/>
    <s v="High"/>
    <n v="2011"/>
  </r>
  <r>
    <s v="IN-2011-65159"/>
    <x v="2"/>
    <d v="2011-01-07T00:00:00"/>
    <x v="2"/>
    <s v="Larry Blacks"/>
    <x v="1"/>
    <x v="9"/>
    <x v="8"/>
    <x v="3"/>
    <x v="6"/>
    <s v="OFF-FA-10002569"/>
    <x v="0"/>
    <x v="2"/>
    <s v="Stockwell Staples, Metal"/>
    <n v="6"/>
    <n v="1"/>
    <n v="0.45"/>
    <x v="18"/>
    <n v="0.8"/>
    <s v="High"/>
    <n v="2011"/>
  </r>
  <r>
    <s v="MX-2011-111255"/>
    <x v="4"/>
    <d v="2011-01-09T00:00:00"/>
    <x v="2"/>
    <s v="Russell Applegate"/>
    <x v="1"/>
    <x v="11"/>
    <x v="5"/>
    <x v="4"/>
    <x v="2"/>
    <s v="FUR-BO-10001498"/>
    <x v="1"/>
    <x v="3"/>
    <s v="Dania Classic Bookcase, Pine"/>
    <n v="1648"/>
    <n v="6"/>
    <n v="0"/>
    <x v="19"/>
    <n v="109.13"/>
    <s v="Medium"/>
    <n v="2011"/>
  </r>
  <r>
    <s v="MX-2011-111255"/>
    <x v="4"/>
    <d v="2011-01-09T00:00:00"/>
    <x v="2"/>
    <s v="Russell Applegate"/>
    <x v="1"/>
    <x v="11"/>
    <x v="5"/>
    <x v="4"/>
    <x v="2"/>
    <s v="OFF-SU-10003629"/>
    <x v="0"/>
    <x v="9"/>
    <s v="Fiskars Letter Opener, Easy Grip"/>
    <n v="149"/>
    <n v="8"/>
    <n v="0"/>
    <x v="20"/>
    <n v="10.38"/>
    <s v="Medium"/>
    <n v="2011"/>
  </r>
  <r>
    <s v="ES-2011-5496179"/>
    <x v="5"/>
    <d v="2011-01-09T00:00:00"/>
    <x v="2"/>
    <s v="Shahid Hopkins"/>
    <x v="1"/>
    <x v="12"/>
    <x v="0"/>
    <x v="0"/>
    <x v="0"/>
    <s v="FUR-FU-10000468"/>
    <x v="1"/>
    <x v="10"/>
    <s v="Advantus Frame, Durable"/>
    <n v="324"/>
    <n v="3"/>
    <n v="0"/>
    <x v="21"/>
    <n v="39.979999999999997"/>
    <s v="High"/>
    <n v="2011"/>
  </r>
  <r>
    <s v="CA-2011-130813"/>
    <x v="1"/>
    <d v="2011-01-09T00:00:00"/>
    <x v="2"/>
    <s v="Lycoris Saunders"/>
    <x v="1"/>
    <x v="13"/>
    <x v="2"/>
    <x v="2"/>
    <x v="7"/>
    <s v="OFF-PA-10002005"/>
    <x v="0"/>
    <x v="7"/>
    <s v="Xerox 225"/>
    <n v="19"/>
    <n v="3"/>
    <n v="0"/>
    <x v="22"/>
    <n v="4.37"/>
    <s v="High"/>
    <n v="2011"/>
  </r>
  <r>
    <s v="IN-2011-19330"/>
    <x v="6"/>
    <d v="2011-01-12T00:00:00"/>
    <x v="2"/>
    <s v="Nicole Fjeld"/>
    <x v="0"/>
    <x v="14"/>
    <x v="10"/>
    <x v="3"/>
    <x v="8"/>
    <s v="TEC-MA-10002468"/>
    <x v="2"/>
    <x v="11"/>
    <s v="Panasonic Inkjet, White"/>
    <n v="2174"/>
    <n v="7"/>
    <n v="0"/>
    <x v="23"/>
    <n v="275.52"/>
    <s v="Medium"/>
    <n v="2011"/>
  </r>
  <r>
    <s v="MX-2011-121202"/>
    <x v="6"/>
    <d v="2011-01-13T00:00:00"/>
    <x v="2"/>
    <s v="Christopher Martinez"/>
    <x v="1"/>
    <x v="15"/>
    <x v="11"/>
    <x v="4"/>
    <x v="0"/>
    <s v="OFF-ST-10002471"/>
    <x v="0"/>
    <x v="1"/>
    <s v="Smead Lockers, Single Width"/>
    <n v="397"/>
    <n v="3"/>
    <n v="0"/>
    <x v="24"/>
    <n v="33.67"/>
    <s v="Medium"/>
    <n v="2011"/>
  </r>
  <r>
    <s v="MX-2011-121202"/>
    <x v="6"/>
    <d v="2011-01-13T00:00:00"/>
    <x v="2"/>
    <s v="Christopher Martinez"/>
    <x v="1"/>
    <x v="15"/>
    <x v="11"/>
    <x v="4"/>
    <x v="0"/>
    <s v="OFF-BI-10002937"/>
    <x v="0"/>
    <x v="6"/>
    <s v="Wilson Jones Binder Covers, Clear"/>
    <n v="50"/>
    <n v="7"/>
    <n v="0"/>
    <x v="25"/>
    <n v="5.66"/>
    <s v="Medium"/>
    <n v="2011"/>
  </r>
  <r>
    <s v="NI-2011-4770"/>
    <x v="6"/>
    <d v="2011-01-11T00:00:00"/>
    <x v="2"/>
    <s v="Joe Elijah"/>
    <x v="1"/>
    <x v="16"/>
    <x v="12"/>
    <x v="1"/>
    <x v="1"/>
    <s v="OFF-AVE-10000608"/>
    <x v="0"/>
    <x v="6"/>
    <s v="Avery Index Tab, Economy"/>
    <n v="5"/>
    <n v="2"/>
    <n v="0.7"/>
    <x v="26"/>
    <n v="0.82"/>
    <s v="High"/>
    <n v="2011"/>
  </r>
  <r>
    <s v="AG-2011-2040"/>
    <x v="3"/>
    <d v="2011-01-06T00:00:00"/>
    <x v="3"/>
    <s v="Toby Braunhardt"/>
    <x v="1"/>
    <x v="17"/>
    <x v="13"/>
    <x v="1"/>
    <x v="1"/>
    <s v="OFF-TEN-10000025"/>
    <x v="0"/>
    <x v="1"/>
    <s v="Tenex Lockers, Blue"/>
    <n v="408"/>
    <n v="2"/>
    <n v="0"/>
    <x v="27"/>
    <n v="35.46"/>
    <s v="Medium"/>
    <n v="2011"/>
  </r>
  <r>
    <s v="IN-2011-47883"/>
    <x v="3"/>
    <d v="2011-01-08T00:00:00"/>
    <x v="3"/>
    <s v="Joseph Holt"/>
    <x v="1"/>
    <x v="5"/>
    <x v="4"/>
    <x v="3"/>
    <x v="3"/>
    <s v="OFF-SU-10000618"/>
    <x v="0"/>
    <x v="9"/>
    <s v="Acme Trimmer, High Speed"/>
    <n v="120"/>
    <n v="3"/>
    <n v="0.1"/>
    <x v="28"/>
    <n v="9.7200000000000006"/>
    <s v="Medium"/>
    <n v="2011"/>
  </r>
  <r>
    <s v="IN-2011-47883"/>
    <x v="3"/>
    <d v="2011-01-08T00:00:00"/>
    <x v="3"/>
    <s v="Joseph Holt"/>
    <x v="1"/>
    <x v="5"/>
    <x v="4"/>
    <x v="3"/>
    <x v="3"/>
    <s v="FUR-FU-10003447"/>
    <x v="1"/>
    <x v="10"/>
    <s v="Eldon Light Bulb, Duo Pack"/>
    <n v="114"/>
    <n v="5"/>
    <n v="0.1"/>
    <x v="29"/>
    <n v="4.7"/>
    <s v="Medium"/>
    <n v="2011"/>
  </r>
  <r>
    <s v="IN-2011-47883"/>
    <x v="3"/>
    <d v="2011-01-08T00:00:00"/>
    <x v="3"/>
    <s v="Joseph Holt"/>
    <x v="1"/>
    <x v="5"/>
    <x v="4"/>
    <x v="3"/>
    <x v="3"/>
    <s v="OFF-PA-10001968"/>
    <x v="0"/>
    <x v="7"/>
    <s v="Eaton Computer Printout Paper, 8.5 x 11"/>
    <n v="55"/>
    <n v="2"/>
    <n v="0.1"/>
    <x v="30"/>
    <n v="1.8"/>
    <s v="Medium"/>
    <n v="2011"/>
  </r>
  <r>
    <s v="CA-2011-1510"/>
    <x v="7"/>
    <d v="2011-01-06T00:00:00"/>
    <x v="3"/>
    <s v="Magdelene Morse"/>
    <x v="1"/>
    <x v="18"/>
    <x v="14"/>
    <x v="6"/>
    <x v="9"/>
    <s v="TEC-OKI-10002750"/>
    <x v="2"/>
    <x v="11"/>
    <s v="Okidata Inkjet, Wireless"/>
    <n v="314"/>
    <n v="1"/>
    <n v="0"/>
    <x v="31"/>
    <n v="24.1"/>
    <s v="Medium"/>
    <n v="2011"/>
  </r>
  <r>
    <s v="ID-2011-80230"/>
    <x v="2"/>
    <d v="2011-01-09T00:00:00"/>
    <x v="3"/>
    <s v="Ken Lonsdale"/>
    <x v="1"/>
    <x v="19"/>
    <x v="15"/>
    <x v="3"/>
    <x v="3"/>
    <s v="TEC-CO-10004182"/>
    <x v="2"/>
    <x v="12"/>
    <s v="Hewlett Wireless Fax, Laser"/>
    <n v="912"/>
    <n v="4"/>
    <n v="0.4"/>
    <x v="32"/>
    <n v="107.1"/>
    <s v="Low"/>
    <n v="2011"/>
  </r>
  <r>
    <s v="IZ-2011-4680"/>
    <x v="2"/>
    <d v="2011-01-07T00:00:00"/>
    <x v="3"/>
    <s v="Lindsay Williams"/>
    <x v="2"/>
    <x v="20"/>
    <x v="16"/>
    <x v="5"/>
    <x v="4"/>
    <s v="FUR-NOV-10002791"/>
    <x v="1"/>
    <x v="13"/>
    <s v="Novimex Swivel Stool, Set of Two"/>
    <n v="667"/>
    <n v="4"/>
    <n v="0"/>
    <x v="33"/>
    <n v="81.260000000000005"/>
    <s v="High"/>
    <n v="2011"/>
  </r>
  <r>
    <s v="ES-2011-4869686"/>
    <x v="2"/>
    <d v="2011-01-07T00:00:00"/>
    <x v="3"/>
    <s v="Dorothy Dickinson"/>
    <x v="1"/>
    <x v="21"/>
    <x v="17"/>
    <x v="0"/>
    <x v="5"/>
    <s v="FUR-BO-10000728"/>
    <x v="1"/>
    <x v="3"/>
    <s v="Dania Corner Shelving, Traditional"/>
    <n v="854"/>
    <n v="7"/>
    <n v="0"/>
    <x v="34"/>
    <n v="12.56"/>
    <s v="Medium"/>
    <n v="2011"/>
  </r>
  <r>
    <s v="IN-2011-33652"/>
    <x v="2"/>
    <d v="2011-01-09T00:00:00"/>
    <x v="3"/>
    <s v="Dennis Pardue"/>
    <x v="0"/>
    <x v="22"/>
    <x v="18"/>
    <x v="3"/>
    <x v="6"/>
    <s v="TEC-CO-10000594"/>
    <x v="2"/>
    <x v="12"/>
    <s v="Hewlett Fax and Copier, Laser"/>
    <n v="193"/>
    <n v="1"/>
    <n v="0"/>
    <x v="35"/>
    <n v="10.4"/>
    <s v="Medium"/>
    <n v="2011"/>
  </r>
  <r>
    <s v="ID-2011-80230"/>
    <x v="2"/>
    <d v="2011-01-09T00:00:00"/>
    <x v="3"/>
    <s v="Ken Lonsdale"/>
    <x v="1"/>
    <x v="19"/>
    <x v="15"/>
    <x v="3"/>
    <x v="3"/>
    <s v="FUR-CH-10000214"/>
    <x v="1"/>
    <x v="13"/>
    <s v="Hon Rocking Chair, Set of Two"/>
    <n v="159"/>
    <n v="2"/>
    <n v="0.4"/>
    <x v="36"/>
    <n v="10.07"/>
    <s v="Low"/>
    <n v="2011"/>
  </r>
  <r>
    <s v="MX-2011-160234"/>
    <x v="2"/>
    <d v="2011-01-07T00:00:00"/>
    <x v="3"/>
    <s v="Stewart Visinsky"/>
    <x v="1"/>
    <x v="15"/>
    <x v="11"/>
    <x v="4"/>
    <x v="0"/>
    <s v="TEC-PH-10002647"/>
    <x v="2"/>
    <x v="14"/>
    <s v="Nokia Headset, VoIP"/>
    <n v="195"/>
    <n v="4"/>
    <n v="0"/>
    <x v="37"/>
    <n v="8.43"/>
    <s v="Medium"/>
    <n v="2011"/>
  </r>
  <r>
    <s v="IR-2011-770"/>
    <x v="2"/>
    <d v="2011-01-07T00:00:00"/>
    <x v="3"/>
    <s v="Jas O'Carroll"/>
    <x v="1"/>
    <x v="23"/>
    <x v="9"/>
    <x v="5"/>
    <x v="4"/>
    <s v="OFF-BRE-10003081"/>
    <x v="0"/>
    <x v="4"/>
    <s v="Breville Coffee Grinder, Black"/>
    <n v="123"/>
    <n v="2"/>
    <n v="0"/>
    <x v="38"/>
    <n v="8.41"/>
    <s v="Medium"/>
    <n v="2011"/>
  </r>
  <r>
    <s v="ID-2011-80230"/>
    <x v="2"/>
    <d v="2011-01-09T00:00:00"/>
    <x v="3"/>
    <s v="Ken Lonsdale"/>
    <x v="1"/>
    <x v="19"/>
    <x v="15"/>
    <x v="3"/>
    <x v="3"/>
    <s v="TEC-AC-10002881"/>
    <x v="2"/>
    <x v="15"/>
    <s v="Belkin Numeric Keypad, Bluetooth"/>
    <n v="69"/>
    <n v="2"/>
    <n v="0.4"/>
    <x v="39"/>
    <n v="8.34"/>
    <s v="Low"/>
    <n v="2011"/>
  </r>
  <r>
    <s v="ID-2011-80230"/>
    <x v="2"/>
    <d v="2011-01-09T00:00:00"/>
    <x v="3"/>
    <s v="Ken Lonsdale"/>
    <x v="1"/>
    <x v="19"/>
    <x v="15"/>
    <x v="3"/>
    <x v="3"/>
    <s v="FUR-CH-10000666"/>
    <x v="1"/>
    <x v="13"/>
    <s v="SAFCO Chairmat, Black"/>
    <n v="69"/>
    <n v="2"/>
    <n v="0.4"/>
    <x v="40"/>
    <n v="8.17"/>
    <s v="Low"/>
    <n v="2011"/>
  </r>
  <r>
    <s v="ID-2011-12596"/>
    <x v="2"/>
    <d v="2011-01-08T00:00:00"/>
    <x v="3"/>
    <s v="Chris McAfee"/>
    <x v="1"/>
    <x v="24"/>
    <x v="19"/>
    <x v="3"/>
    <x v="6"/>
    <s v="OFF-ST-10002066"/>
    <x v="0"/>
    <x v="1"/>
    <s v="Smead File Cart, Blue"/>
    <n v="135"/>
    <n v="2"/>
    <n v="0.47"/>
    <x v="41"/>
    <n v="7.74"/>
    <s v="Medium"/>
    <n v="2011"/>
  </r>
  <r>
    <s v="IR-2011-770"/>
    <x v="2"/>
    <d v="2011-01-07T00:00:00"/>
    <x v="3"/>
    <s v="Jas O'Carroll"/>
    <x v="1"/>
    <x v="23"/>
    <x v="9"/>
    <x v="5"/>
    <x v="4"/>
    <s v="OFF-ROG-10004393"/>
    <x v="0"/>
    <x v="1"/>
    <s v="Rogers Folders, Industrial"/>
    <n v="62"/>
    <n v="2"/>
    <n v="0"/>
    <x v="42"/>
    <n v="5.16"/>
    <s v="Medium"/>
    <n v="2011"/>
  </r>
  <r>
    <s v="TZ-2011-7370"/>
    <x v="2"/>
    <d v="2011-01-08T00:00:00"/>
    <x v="3"/>
    <s v="Jack Garza"/>
    <x v="1"/>
    <x v="25"/>
    <x v="20"/>
    <x v="1"/>
    <x v="1"/>
    <s v="OFF-STI-10000388"/>
    <x v="0"/>
    <x v="9"/>
    <s v="Stiletto Scissors, Serrated"/>
    <n v="81"/>
    <n v="4"/>
    <n v="0"/>
    <x v="43"/>
    <n v="5.1100000000000003"/>
    <s v="Medium"/>
    <n v="2011"/>
  </r>
  <r>
    <s v="IZ-2011-4680"/>
    <x v="2"/>
    <d v="2011-01-07T00:00:00"/>
    <x v="3"/>
    <s v="Lindsay Williams"/>
    <x v="2"/>
    <x v="20"/>
    <x v="16"/>
    <x v="5"/>
    <x v="4"/>
    <s v="OFF-CAM-10004338"/>
    <x v="0"/>
    <x v="16"/>
    <s v="Cameo Interoffice Envelope, Set of 50"/>
    <n v="47"/>
    <n v="1"/>
    <n v="0"/>
    <x v="44"/>
    <n v="3.57"/>
    <s v="High"/>
    <n v="2011"/>
  </r>
  <r>
    <s v="IR-2011-770"/>
    <x v="2"/>
    <d v="2011-01-07T00:00:00"/>
    <x v="3"/>
    <s v="Jas O'Carroll"/>
    <x v="1"/>
    <x v="23"/>
    <x v="9"/>
    <x v="5"/>
    <x v="4"/>
    <s v="OFF-ADV-10000213"/>
    <x v="0"/>
    <x v="2"/>
    <s v="Advantus Rubber Bands, Metal"/>
    <n v="17"/>
    <n v="1"/>
    <n v="0"/>
    <x v="45"/>
    <n v="0.54"/>
    <s v="Medium"/>
    <n v="2011"/>
  </r>
  <r>
    <s v="MX-2011-140641"/>
    <x v="4"/>
    <d v="2011-01-09T00:00:00"/>
    <x v="3"/>
    <s v="Maya Herman"/>
    <x v="2"/>
    <x v="26"/>
    <x v="21"/>
    <x v="4"/>
    <x v="5"/>
    <s v="TEC-AC-10001082"/>
    <x v="2"/>
    <x v="15"/>
    <s v="Enermax Keyboard, Bluetooth"/>
    <n v="223"/>
    <n v="4"/>
    <n v="0"/>
    <x v="46"/>
    <n v="42.28"/>
    <s v="High"/>
    <n v="2011"/>
  </r>
  <r>
    <s v="MX-2011-158771"/>
    <x v="4"/>
    <d v="2011-01-11T00:00:00"/>
    <x v="3"/>
    <s v="Beth Thompson"/>
    <x v="0"/>
    <x v="27"/>
    <x v="22"/>
    <x v="4"/>
    <x v="10"/>
    <s v="OFF-EN-10000857"/>
    <x v="0"/>
    <x v="16"/>
    <s v="Jiffy Interoffice Envelope, Set of 50"/>
    <n v="186"/>
    <n v="6"/>
    <n v="0"/>
    <x v="47"/>
    <n v="16.39"/>
    <s v="Medium"/>
    <n v="2011"/>
  </r>
  <r>
    <s v="ES-2011-4939443"/>
    <x v="4"/>
    <d v="2011-01-08T00:00:00"/>
    <x v="3"/>
    <s v="Arthur Prichep"/>
    <x v="1"/>
    <x v="0"/>
    <x v="0"/>
    <x v="0"/>
    <x v="0"/>
    <s v="OFF-AR-10001546"/>
    <x v="0"/>
    <x v="0"/>
    <s v="Binney &amp; Smith Sketch Pad, Easy-Erase"/>
    <n v="140"/>
    <n v="3"/>
    <n v="0"/>
    <x v="48"/>
    <n v="10.78"/>
    <s v="Medium"/>
    <n v="2011"/>
  </r>
  <r>
    <s v="MX-2011-140641"/>
    <x v="4"/>
    <d v="2011-01-09T00:00:00"/>
    <x v="3"/>
    <s v="Maya Herman"/>
    <x v="2"/>
    <x v="26"/>
    <x v="21"/>
    <x v="4"/>
    <x v="5"/>
    <s v="TEC-CO-10002998"/>
    <x v="2"/>
    <x v="12"/>
    <s v="Sharp Ink, Laser"/>
    <n v="166"/>
    <n v="2"/>
    <n v="2E-3"/>
    <x v="49"/>
    <n v="9.5399999999999991"/>
    <s v="High"/>
    <n v="2011"/>
  </r>
  <r>
    <s v="US-2011-136007"/>
    <x v="4"/>
    <d v="2011-01-11T00:00:00"/>
    <x v="3"/>
    <s v="Beth Thompson"/>
    <x v="0"/>
    <x v="28"/>
    <x v="5"/>
    <x v="4"/>
    <x v="2"/>
    <s v="OFF-EN-10004956"/>
    <x v="0"/>
    <x v="16"/>
    <s v="Jiffy Interoffice Envelope, Set of 50"/>
    <n v="74"/>
    <n v="6"/>
    <n v="0.6"/>
    <x v="50"/>
    <n v="7.04"/>
    <s v="Medium"/>
    <n v="2011"/>
  </r>
  <r>
    <s v="MX-2011-159373"/>
    <x v="4"/>
    <d v="2011-01-08T00:00:00"/>
    <x v="3"/>
    <s v="Arthur Wiediger"/>
    <x v="0"/>
    <x v="29"/>
    <x v="22"/>
    <x v="4"/>
    <x v="10"/>
    <s v="FUR-CH-10004827"/>
    <x v="1"/>
    <x v="13"/>
    <s v="SAFCO Chairmat, Black"/>
    <n v="38"/>
    <n v="1"/>
    <n v="0"/>
    <x v="51"/>
    <n v="4.25"/>
    <s v="Medium"/>
    <n v="2011"/>
  </r>
  <r>
    <s v="MX-2011-159373"/>
    <x v="4"/>
    <d v="2011-01-08T00:00:00"/>
    <x v="3"/>
    <s v="Arthur Wiediger"/>
    <x v="0"/>
    <x v="29"/>
    <x v="22"/>
    <x v="4"/>
    <x v="10"/>
    <s v="TEC-AC-10003081"/>
    <x v="2"/>
    <x v="15"/>
    <s v="Memorex Mouse, USB"/>
    <n v="38"/>
    <n v="2"/>
    <n v="0"/>
    <x v="52"/>
    <n v="3.94"/>
    <s v="Medium"/>
    <n v="2011"/>
  </r>
  <r>
    <s v="MX-2011-159373"/>
    <x v="4"/>
    <d v="2011-01-08T00:00:00"/>
    <x v="3"/>
    <s v="Arthur Wiediger"/>
    <x v="0"/>
    <x v="29"/>
    <x v="22"/>
    <x v="4"/>
    <x v="10"/>
    <s v="OFF-EN-10002816"/>
    <x v="0"/>
    <x v="16"/>
    <s v="Kraft Peel and Seal, Recycled"/>
    <n v="39"/>
    <n v="3"/>
    <n v="0"/>
    <x v="53"/>
    <n v="3.51"/>
    <s v="Medium"/>
    <n v="2011"/>
  </r>
  <r>
    <s v="IT-2011-2942451"/>
    <x v="4"/>
    <d v="2011-01-09T00:00:00"/>
    <x v="3"/>
    <s v="Grant Thornton"/>
    <x v="2"/>
    <x v="21"/>
    <x v="17"/>
    <x v="0"/>
    <x v="5"/>
    <s v="OFF-AR-10002485"/>
    <x v="0"/>
    <x v="0"/>
    <s v="Boston Markers, Easy-Erase"/>
    <n v="27"/>
    <n v="2"/>
    <n v="0.5"/>
    <x v="54"/>
    <n v="2.11"/>
    <s v="Medium"/>
    <n v="2011"/>
  </r>
  <r>
    <s v="CA-2011-103800"/>
    <x v="4"/>
    <d v="2011-01-08T00:00:00"/>
    <x v="3"/>
    <s v="Darren Powers"/>
    <x v="1"/>
    <x v="30"/>
    <x v="2"/>
    <x v="2"/>
    <x v="0"/>
    <s v="OFF-PA-10000174"/>
    <x v="0"/>
    <x v="7"/>
    <s v="Message Book, Wirebound, Four 5 1/2&quot; X 4&quot; Forms/Pg., 200 Dupl. Sets/Book"/>
    <n v="16"/>
    <n v="2"/>
    <n v="0.2"/>
    <x v="55"/>
    <n v="1.82"/>
    <s v="High"/>
    <n v="2011"/>
  </r>
  <r>
    <s v="IN-2011-33036"/>
    <x v="4"/>
    <d v="2011-01-08T00:00:00"/>
    <x v="3"/>
    <s v="Bradley Drucker"/>
    <x v="1"/>
    <x v="31"/>
    <x v="23"/>
    <x v="3"/>
    <x v="8"/>
    <s v="OFF-LA-10000784"/>
    <x v="0"/>
    <x v="5"/>
    <s v="Harbour Creations File Folder Labels, 5000 Label Set"/>
    <n v="27"/>
    <n v="3"/>
    <n v="0"/>
    <x v="56"/>
    <n v="1.54"/>
    <s v="Medium"/>
    <n v="2011"/>
  </r>
  <r>
    <s v="IT-2011-2942451"/>
    <x v="4"/>
    <d v="2011-01-09T00:00:00"/>
    <x v="3"/>
    <s v="Grant Thornton"/>
    <x v="2"/>
    <x v="21"/>
    <x v="17"/>
    <x v="0"/>
    <x v="5"/>
    <s v="OFF-ST-10001426"/>
    <x v="0"/>
    <x v="1"/>
    <s v="Eldon Folders, Single Width"/>
    <n v="17"/>
    <n v="2"/>
    <n v="0.5"/>
    <x v="57"/>
    <n v="0.9"/>
    <s v="Medium"/>
    <n v="2011"/>
  </r>
  <r>
    <s v="SU-2011-5190"/>
    <x v="4"/>
    <d v="2011-01-08T00:00:00"/>
    <x v="3"/>
    <s v="Jasper Cacioppo"/>
    <x v="1"/>
    <x v="32"/>
    <x v="24"/>
    <x v="1"/>
    <x v="1"/>
    <s v="OFF-BOS-10004950"/>
    <x v="0"/>
    <x v="0"/>
    <s v="Boston Pens, Fluorescent"/>
    <n v="15"/>
    <n v="1"/>
    <n v="0"/>
    <x v="58"/>
    <n v="0.82"/>
    <s v="Medium"/>
    <n v="2011"/>
  </r>
  <r>
    <s v="SU-2011-5190"/>
    <x v="4"/>
    <d v="2011-01-08T00:00:00"/>
    <x v="3"/>
    <s v="Jasper Cacioppo"/>
    <x v="1"/>
    <x v="32"/>
    <x v="24"/>
    <x v="1"/>
    <x v="1"/>
    <s v="OFF-AVE-10003279"/>
    <x v="0"/>
    <x v="6"/>
    <s v="Avery Hole Reinforcements, Durable"/>
    <n v="6"/>
    <n v="1"/>
    <n v="0"/>
    <x v="59"/>
    <n v="0.51"/>
    <s v="Medium"/>
    <n v="2011"/>
  </r>
  <r>
    <s v="MX-2011-109267"/>
    <x v="0"/>
    <d v="2011-01-09T00:00:00"/>
    <x v="3"/>
    <s v="Jennifer Halladay"/>
    <x v="1"/>
    <x v="33"/>
    <x v="21"/>
    <x v="4"/>
    <x v="5"/>
    <s v="OFF-AP-10004245"/>
    <x v="0"/>
    <x v="4"/>
    <s v="Hoover Stove, Black"/>
    <n v="3029"/>
    <n v="8"/>
    <n v="0"/>
    <x v="60"/>
    <n v="191.2"/>
    <s v="Medium"/>
    <n v="2011"/>
  </r>
  <r>
    <s v="CA-2011-112326"/>
    <x v="0"/>
    <d v="2011-01-09T00:00:00"/>
    <x v="3"/>
    <s v="Phillina Ober"/>
    <x v="0"/>
    <x v="34"/>
    <x v="2"/>
    <x v="2"/>
    <x v="0"/>
    <s v="OFF-ST-10002743"/>
    <x v="0"/>
    <x v="1"/>
    <s v="SAFCO Boltless Steel Shelving"/>
    <n v="273"/>
    <n v="3"/>
    <n v="0.2"/>
    <x v="61"/>
    <n v="13.59"/>
    <s v="High"/>
    <n v="2011"/>
  </r>
  <r>
    <s v="IN-2011-27681"/>
    <x v="0"/>
    <d v="2011-01-11T00:00:00"/>
    <x v="3"/>
    <s v="Shaun Weien"/>
    <x v="1"/>
    <x v="35"/>
    <x v="25"/>
    <x v="3"/>
    <x v="8"/>
    <s v="FUR-FU-10000394"/>
    <x v="1"/>
    <x v="10"/>
    <s v="Rubbermaid Photo Frame, Durable"/>
    <n v="49"/>
    <n v="1"/>
    <n v="0"/>
    <x v="62"/>
    <n v="5.82"/>
    <s v="Low"/>
    <n v="2011"/>
  </r>
  <r>
    <s v="CA-2011-112326"/>
    <x v="0"/>
    <d v="2011-01-09T00:00:00"/>
    <x v="3"/>
    <s v="Phillina Ober"/>
    <x v="0"/>
    <x v="34"/>
    <x v="2"/>
    <x v="2"/>
    <x v="0"/>
    <s v="OFF-LA-10003223"/>
    <x v="0"/>
    <x v="5"/>
    <s v="Avery 508"/>
    <n v="12"/>
    <n v="3"/>
    <n v="0.2"/>
    <x v="63"/>
    <n v="0.99"/>
    <s v="High"/>
    <n v="2011"/>
  </r>
  <r>
    <s v="CA-2011-112326"/>
    <x v="0"/>
    <d v="2011-01-09T00:00:00"/>
    <x v="3"/>
    <s v="Phillina Ober"/>
    <x v="0"/>
    <x v="34"/>
    <x v="2"/>
    <x v="2"/>
    <x v="0"/>
    <s v="OFF-BI-10004094"/>
    <x v="0"/>
    <x v="6"/>
    <s v="GBC Standard Plastic Binding Systems Combs"/>
    <n v="4"/>
    <n v="2"/>
    <n v="0.8"/>
    <x v="64"/>
    <n v="0.55000000000000004"/>
    <s v="High"/>
    <n v="2011"/>
  </r>
  <r>
    <s v="IN-2011-29963"/>
    <x v="5"/>
    <d v="2011-01-10T00:00:00"/>
    <x v="3"/>
    <s v="Brosina Hoffman"/>
    <x v="1"/>
    <x v="36"/>
    <x v="26"/>
    <x v="3"/>
    <x v="6"/>
    <s v="OFF-ST-10000344"/>
    <x v="0"/>
    <x v="1"/>
    <s v="Fellowes Box, Industrial"/>
    <n v="50"/>
    <n v="3"/>
    <n v="0.17"/>
    <x v="65"/>
    <n v="6.2"/>
    <s v="High"/>
    <n v="2011"/>
  </r>
  <r>
    <s v="ID-2011-41632"/>
    <x v="5"/>
    <d v="2011-01-13T00:00:00"/>
    <x v="3"/>
    <s v="Robert Dilbeck"/>
    <x v="0"/>
    <x v="37"/>
    <x v="27"/>
    <x v="3"/>
    <x v="6"/>
    <s v="OFF-ST-10001631"/>
    <x v="0"/>
    <x v="1"/>
    <s v="Tenex Trays, Blue"/>
    <n v="90"/>
    <n v="2"/>
    <n v="0.17"/>
    <x v="66"/>
    <n v="3.62"/>
    <s v="Medium"/>
    <n v="2011"/>
  </r>
  <r>
    <s v="IN-2011-29963"/>
    <x v="5"/>
    <d v="2011-01-10T00:00:00"/>
    <x v="3"/>
    <s v="Brosina Hoffman"/>
    <x v="1"/>
    <x v="36"/>
    <x v="26"/>
    <x v="3"/>
    <x v="6"/>
    <s v="OFF-FA-10000549"/>
    <x v="0"/>
    <x v="2"/>
    <s v="Advantus Staples, Metal"/>
    <n v="41"/>
    <n v="7"/>
    <n v="0.47"/>
    <x v="67"/>
    <n v="2.63"/>
    <s v="High"/>
    <n v="2011"/>
  </r>
  <r>
    <s v="ID-2011-41632"/>
    <x v="5"/>
    <d v="2011-01-13T00:00:00"/>
    <x v="3"/>
    <s v="Robert Dilbeck"/>
    <x v="0"/>
    <x v="37"/>
    <x v="27"/>
    <x v="3"/>
    <x v="6"/>
    <s v="OFF-PA-10003407"/>
    <x v="0"/>
    <x v="7"/>
    <s v="Enermax Memo Slips, Recycled"/>
    <n v="39"/>
    <n v="3"/>
    <n v="0.17"/>
    <x v="68"/>
    <n v="2.4500000000000002"/>
    <s v="Medium"/>
    <n v="2011"/>
  </r>
  <r>
    <s v="AO-2011-4910"/>
    <x v="5"/>
    <d v="2011-01-11T00:00:00"/>
    <x v="3"/>
    <s v="Grace Kelly"/>
    <x v="2"/>
    <x v="38"/>
    <x v="28"/>
    <x v="1"/>
    <x v="1"/>
    <s v="TEC-LOG-10003079"/>
    <x v="2"/>
    <x v="15"/>
    <s v="Logitech Flash Drive, Erganomic"/>
    <n v="28"/>
    <n v="1"/>
    <n v="0"/>
    <x v="69"/>
    <n v="2"/>
    <s v="Medium"/>
    <n v="2011"/>
  </r>
  <r>
    <s v="IN-2011-76107"/>
    <x v="5"/>
    <d v="2011-01-10T00:00:00"/>
    <x v="3"/>
    <s v="Khloe Miller"/>
    <x v="1"/>
    <x v="39"/>
    <x v="10"/>
    <x v="3"/>
    <x v="8"/>
    <s v="OFF-EN-10002166"/>
    <x v="0"/>
    <x v="16"/>
    <s v="Cameo Manila Envelope, with clear poly window"/>
    <n v="31"/>
    <n v="1"/>
    <n v="0"/>
    <x v="70"/>
    <n v="1.96"/>
    <s v="High"/>
    <n v="2011"/>
  </r>
  <r>
    <s v="CA-2011-141817"/>
    <x v="5"/>
    <d v="2011-01-13T00:00:00"/>
    <x v="3"/>
    <s v="Mick Brown"/>
    <x v="1"/>
    <x v="40"/>
    <x v="2"/>
    <x v="2"/>
    <x v="11"/>
    <s v="OFF-AR-10003478"/>
    <x v="0"/>
    <x v="0"/>
    <s v="Avery Hi-Liter EverBold Pen Style Fluorescent Highlighters, 4/Pack"/>
    <n v="20"/>
    <n v="3"/>
    <n v="0.2"/>
    <x v="71"/>
    <n v="1.85"/>
    <s v="Low"/>
    <n v="2011"/>
  </r>
  <r>
    <s v="CA-2011-167199"/>
    <x v="1"/>
    <d v="2011-01-11T00:00:00"/>
    <x v="3"/>
    <s v="Maria Etezadi"/>
    <x v="0"/>
    <x v="41"/>
    <x v="2"/>
    <x v="2"/>
    <x v="2"/>
    <s v="FUR-CH-10004063"/>
    <x v="1"/>
    <x v="13"/>
    <s v="Global Deluxe High-Back Manager's Chair"/>
    <n v="2574"/>
    <n v="9"/>
    <n v="0"/>
    <x v="72"/>
    <n v="258.99"/>
    <s v="High"/>
    <n v="2011"/>
  </r>
  <r>
    <s v="CA-2011-167199"/>
    <x v="1"/>
    <d v="2011-01-11T00:00:00"/>
    <x v="3"/>
    <s v="Maria Etezadi"/>
    <x v="0"/>
    <x v="41"/>
    <x v="2"/>
    <x v="2"/>
    <x v="2"/>
    <s v="OFF-BI-10004632"/>
    <x v="0"/>
    <x v="6"/>
    <s v="Ibico Hi-Tech Manual Binding System"/>
    <n v="610"/>
    <n v="2"/>
    <n v="0"/>
    <x v="73"/>
    <n v="88.07"/>
    <s v="High"/>
    <n v="2011"/>
  </r>
  <r>
    <s v="CA-2011-167199"/>
    <x v="1"/>
    <d v="2011-01-11T00:00:00"/>
    <x v="3"/>
    <s v="Maria Etezadi"/>
    <x v="0"/>
    <x v="41"/>
    <x v="2"/>
    <x v="2"/>
    <x v="2"/>
    <s v="TEC-PH-10004977"/>
    <x v="2"/>
    <x v="14"/>
    <s v="GE 30524EE4"/>
    <n v="392"/>
    <n v="2"/>
    <n v="0"/>
    <x v="74"/>
    <n v="62.37"/>
    <s v="High"/>
    <n v="2011"/>
  </r>
  <r>
    <s v="ID-2011-58670"/>
    <x v="1"/>
    <d v="2011-01-11T00:00:00"/>
    <x v="3"/>
    <s v="Maribeth Schnelling"/>
    <x v="1"/>
    <x v="9"/>
    <x v="8"/>
    <x v="3"/>
    <x v="6"/>
    <s v="TEC-MA-10000868"/>
    <x v="2"/>
    <x v="11"/>
    <s v="Panasonic Phone, Wireless"/>
    <n v="445"/>
    <n v="7"/>
    <n v="0.25"/>
    <x v="75"/>
    <n v="46.97"/>
    <s v="High"/>
    <n v="2011"/>
  </r>
  <r>
    <s v="ID-2011-58670"/>
    <x v="1"/>
    <d v="2011-01-11T00:00:00"/>
    <x v="3"/>
    <s v="Maribeth Schnelling"/>
    <x v="1"/>
    <x v="9"/>
    <x v="8"/>
    <x v="3"/>
    <x v="6"/>
    <s v="TEC-AC-10003413"/>
    <x v="2"/>
    <x v="15"/>
    <s v="Logitech Router, Programmable"/>
    <n v="274"/>
    <n v="2"/>
    <n v="0.45"/>
    <x v="76"/>
    <n v="42.19"/>
    <s v="High"/>
    <n v="2011"/>
  </r>
  <r>
    <s v="ID-2011-58670"/>
    <x v="1"/>
    <d v="2011-01-11T00:00:00"/>
    <x v="3"/>
    <s v="Maribeth Schnelling"/>
    <x v="1"/>
    <x v="9"/>
    <x v="8"/>
    <x v="3"/>
    <x v="6"/>
    <s v="TEC-MA-10004482"/>
    <x v="2"/>
    <x v="11"/>
    <s v="Panasonic Card Printer, White"/>
    <n v="388"/>
    <n v="3"/>
    <n v="0.25"/>
    <x v="77"/>
    <n v="26.2"/>
    <s v="High"/>
    <n v="2011"/>
  </r>
  <r>
    <s v="LE-2011-9590"/>
    <x v="1"/>
    <d v="2011-01-11T00:00:00"/>
    <x v="3"/>
    <s v="Harry Marie"/>
    <x v="2"/>
    <x v="42"/>
    <x v="29"/>
    <x v="5"/>
    <x v="4"/>
    <s v="TEC-HP -10000464"/>
    <x v="2"/>
    <x v="12"/>
    <s v="HP Fax and Copier, Color"/>
    <n v="174"/>
    <n v="1"/>
    <n v="0"/>
    <x v="78"/>
    <n v="23.84"/>
    <s v="High"/>
    <n v="2011"/>
  </r>
  <r>
    <s v="CA-2011-167199"/>
    <x v="1"/>
    <d v="2011-01-11T00:00:00"/>
    <x v="3"/>
    <s v="Maria Etezadi"/>
    <x v="0"/>
    <x v="41"/>
    <x v="2"/>
    <x v="2"/>
    <x v="2"/>
    <s v="TEC-PH-10004539"/>
    <x v="2"/>
    <x v="14"/>
    <s v="Wireless Extenders zBoost YX545 SOHO Signal Booster"/>
    <n v="756"/>
    <n v="4"/>
    <n v="0"/>
    <x v="79"/>
    <n v="13.82"/>
    <s v="High"/>
    <n v="2011"/>
  </r>
  <r>
    <s v="AG-2011-7230"/>
    <x v="1"/>
    <d v="2011-01-11T00:00:00"/>
    <x v="3"/>
    <s v="Alyssa Crouse"/>
    <x v="2"/>
    <x v="43"/>
    <x v="13"/>
    <x v="1"/>
    <x v="1"/>
    <s v="OFF-STA-10000244"/>
    <x v="0"/>
    <x v="0"/>
    <s v="Stanley Sketch Pad, Fluorescent"/>
    <n v="91"/>
    <n v="2"/>
    <n v="0"/>
    <x v="80"/>
    <n v="4.3600000000000003"/>
    <s v="Medium"/>
    <n v="2011"/>
  </r>
  <r>
    <s v="ID-2011-58670"/>
    <x v="1"/>
    <d v="2011-01-11T00:00:00"/>
    <x v="3"/>
    <s v="Maribeth Schnelling"/>
    <x v="1"/>
    <x v="9"/>
    <x v="8"/>
    <x v="3"/>
    <x v="6"/>
    <s v="OFF-AR-10003684"/>
    <x v="0"/>
    <x v="0"/>
    <s v="BIC Sketch Pad, Fluorescent"/>
    <n v="27"/>
    <n v="1"/>
    <n v="0.45"/>
    <x v="81"/>
    <n v="3.21"/>
    <s v="High"/>
    <n v="2011"/>
  </r>
  <r>
    <s v="LE-2011-9590"/>
    <x v="1"/>
    <d v="2011-01-11T00:00:00"/>
    <x v="3"/>
    <s v="Harry Marie"/>
    <x v="2"/>
    <x v="42"/>
    <x v="29"/>
    <x v="5"/>
    <x v="4"/>
    <s v="FUR-ADV-10000847"/>
    <x v="1"/>
    <x v="10"/>
    <s v="Advantus Stacking Tray, Black"/>
    <n v="26"/>
    <n v="1"/>
    <n v="0"/>
    <x v="82"/>
    <n v="2.88"/>
    <s v="High"/>
    <n v="2011"/>
  </r>
  <r>
    <s v="CA-2011-167199"/>
    <x v="1"/>
    <d v="2011-01-11T00:00:00"/>
    <x v="3"/>
    <s v="Maria Etezadi"/>
    <x v="0"/>
    <x v="41"/>
    <x v="2"/>
    <x v="2"/>
    <x v="2"/>
    <s v="OFF-FA-10001883"/>
    <x v="0"/>
    <x v="2"/>
    <s v="Alliance Super-Size Bands, Assorted Sizes"/>
    <n v="31"/>
    <n v="4"/>
    <n v="0"/>
    <x v="83"/>
    <n v="2.19"/>
    <s v="High"/>
    <n v="2011"/>
  </r>
  <r>
    <s v="CA-2011-167199"/>
    <x v="1"/>
    <d v="2011-01-11T00:00:00"/>
    <x v="3"/>
    <s v="Maria Etezadi"/>
    <x v="0"/>
    <x v="41"/>
    <x v="2"/>
    <x v="2"/>
    <x v="2"/>
    <s v="OFF-PA-10000955"/>
    <x v="0"/>
    <x v="7"/>
    <s v="Southworth 25% Cotton Granite Paper &amp; Envelopes"/>
    <n v="7"/>
    <n v="1"/>
    <n v="0"/>
    <x v="84"/>
    <n v="1.1299999999999999"/>
    <s v="High"/>
    <n v="2011"/>
  </r>
  <r>
    <s v="ID-2011-28752"/>
    <x v="1"/>
    <d v="2011-01-12T00:00:00"/>
    <x v="3"/>
    <s v="Adam Bellavance"/>
    <x v="0"/>
    <x v="44"/>
    <x v="30"/>
    <x v="3"/>
    <x v="6"/>
    <s v="OFF-LA-10002875"/>
    <x v="0"/>
    <x v="5"/>
    <s v="Novimex Shipping Labels, Adjustable"/>
    <n v="18"/>
    <n v="2"/>
    <n v="0"/>
    <x v="85"/>
    <n v="0.89"/>
    <s v="Medium"/>
    <n v="2011"/>
  </r>
  <r>
    <s v="CA-2011-167199"/>
    <x v="1"/>
    <d v="2011-01-11T00:00:00"/>
    <x v="3"/>
    <s v="Maria Etezadi"/>
    <x v="0"/>
    <x v="41"/>
    <x v="2"/>
    <x v="2"/>
    <x v="2"/>
    <s v="OFF-AR-10001662"/>
    <x v="0"/>
    <x v="0"/>
    <s v="Rogers Handheld Barrel Pencil Sharpener"/>
    <n v="5"/>
    <n v="2"/>
    <n v="0"/>
    <x v="86"/>
    <n v="0.52"/>
    <s v="High"/>
    <n v="2011"/>
  </r>
  <r>
    <s v="AO-2011-1670"/>
    <x v="6"/>
    <d v="2011-01-13T00:00:00"/>
    <x v="3"/>
    <s v="Henia Zydlo"/>
    <x v="1"/>
    <x v="45"/>
    <x v="28"/>
    <x v="1"/>
    <x v="1"/>
    <s v="FUR-IKE-10001539"/>
    <x v="1"/>
    <x v="3"/>
    <s v="Ikea Classic Bookcase, Pine"/>
    <n v="2479"/>
    <n v="6"/>
    <n v="0"/>
    <x v="87"/>
    <n v="349.87"/>
    <s v="High"/>
    <n v="2011"/>
  </r>
  <r>
    <s v="IT-2011-4546695"/>
    <x v="6"/>
    <d v="2011-01-14T00:00:00"/>
    <x v="3"/>
    <s v="Darren Powers"/>
    <x v="1"/>
    <x v="46"/>
    <x v="0"/>
    <x v="0"/>
    <x v="0"/>
    <s v="FUR-BO-10003103"/>
    <x v="1"/>
    <x v="3"/>
    <s v="Ikea Classic Bookcase, Metal"/>
    <n v="987"/>
    <n v="6"/>
    <n v="0.6"/>
    <x v="88"/>
    <n v="65.64"/>
    <s v="Medium"/>
    <n v="2011"/>
  </r>
  <r>
    <s v="CA-2011-105417"/>
    <x v="6"/>
    <d v="2011-01-13T00:00:00"/>
    <x v="3"/>
    <s v="Vivek Sundaresam"/>
    <x v="1"/>
    <x v="30"/>
    <x v="2"/>
    <x v="2"/>
    <x v="0"/>
    <s v="FUR-FU-10004864"/>
    <x v="1"/>
    <x v="10"/>
    <s v="Howard Miller 14-1/2&quot; Diameter Chrome Round Wall Clock"/>
    <n v="77"/>
    <n v="3"/>
    <n v="0.6"/>
    <x v="89"/>
    <n v="6.69"/>
    <s v="Medium"/>
    <n v="2011"/>
  </r>
  <r>
    <s v="IT-2011-4546695"/>
    <x v="6"/>
    <d v="2011-01-14T00:00:00"/>
    <x v="3"/>
    <s v="Darren Powers"/>
    <x v="1"/>
    <x v="46"/>
    <x v="0"/>
    <x v="0"/>
    <x v="0"/>
    <s v="OFF-AR-10000110"/>
    <x v="0"/>
    <x v="0"/>
    <s v="Binney &amp; Smith Sketch Pad, Blue"/>
    <n v="116"/>
    <n v="5"/>
    <n v="0.5"/>
    <x v="90"/>
    <n v="3.91"/>
    <s v="Medium"/>
    <n v="2011"/>
  </r>
  <r>
    <s v="CA-2011-105417"/>
    <x v="6"/>
    <d v="2011-01-13T00:00:00"/>
    <x v="3"/>
    <s v="Vivek Sundaresam"/>
    <x v="1"/>
    <x v="30"/>
    <x v="2"/>
    <x v="2"/>
    <x v="0"/>
    <s v="OFF-BI-10003708"/>
    <x v="0"/>
    <x v="6"/>
    <s v="Acco Four Pocket Poly Ring Binder with Label Holder, Smoke, 1&quot;"/>
    <n v="10"/>
    <n v="7"/>
    <n v="0.8"/>
    <x v="91"/>
    <n v="0.63"/>
    <s v="Medium"/>
    <n v="2011"/>
  </r>
  <r>
    <s v="ID-2011-20814"/>
    <x v="8"/>
    <d v="2011-01-13T00:00:00"/>
    <x v="3"/>
    <s v="Ed Braxton"/>
    <x v="2"/>
    <x v="47"/>
    <x v="26"/>
    <x v="3"/>
    <x v="6"/>
    <s v="TEC-PH-10001730"/>
    <x v="2"/>
    <x v="14"/>
    <s v="Motorola Signal Booster, Full Size"/>
    <n v="240"/>
    <n v="2"/>
    <n v="0.17"/>
    <x v="92"/>
    <n v="34.99"/>
    <s v="High"/>
    <n v="2011"/>
  </r>
  <r>
    <s v="IN-2011-69366"/>
    <x v="8"/>
    <d v="2011-01-14T00:00:00"/>
    <x v="3"/>
    <s v="Alejandro Grove"/>
    <x v="1"/>
    <x v="48"/>
    <x v="27"/>
    <x v="3"/>
    <x v="6"/>
    <s v="TEC-AC-10000354"/>
    <x v="2"/>
    <x v="15"/>
    <s v="Belkin Numeric Keypad, USB"/>
    <n v="177"/>
    <n v="6"/>
    <n v="0.47"/>
    <x v="93"/>
    <n v="17.09"/>
    <s v="Medium"/>
    <n v="2011"/>
  </r>
  <r>
    <s v="ID-2011-46483"/>
    <x v="8"/>
    <d v="2011-01-13T00:00:00"/>
    <x v="3"/>
    <s v="Sample Company A"/>
    <x v="0"/>
    <x v="49"/>
    <x v="8"/>
    <x v="3"/>
    <x v="6"/>
    <s v="OFF-ST-10001342"/>
    <x v="0"/>
    <x v="1"/>
    <s v="Fellowes Trays, Blue"/>
    <n v="158"/>
    <n v="5"/>
    <n v="0.45"/>
    <x v="94"/>
    <n v="10.08"/>
    <s v="High"/>
    <n v="2011"/>
  </r>
  <r>
    <s v="IN-2011-69366"/>
    <x v="8"/>
    <d v="2011-01-14T00:00:00"/>
    <x v="3"/>
    <s v="Alejandro Grove"/>
    <x v="1"/>
    <x v="48"/>
    <x v="27"/>
    <x v="3"/>
    <x v="6"/>
    <s v="TEC-PH-10003823"/>
    <x v="2"/>
    <x v="14"/>
    <s v="Apple Headset, Full Size"/>
    <n v="124"/>
    <n v="2"/>
    <n v="0.17"/>
    <x v="95"/>
    <n v="7.93"/>
    <s v="Medium"/>
    <n v="2011"/>
  </r>
  <r>
    <s v="ID-2011-46483"/>
    <x v="8"/>
    <d v="2011-01-13T00:00:00"/>
    <x v="3"/>
    <s v="Sample Company A"/>
    <x v="0"/>
    <x v="49"/>
    <x v="8"/>
    <x v="3"/>
    <x v="6"/>
    <s v="OFF-FA-10000577"/>
    <x v="0"/>
    <x v="2"/>
    <s v="Stockwell Push Pins, 12 Pack"/>
    <n v="52"/>
    <n v="7"/>
    <n v="0.45"/>
    <x v="96"/>
    <n v="5.55"/>
    <s v="High"/>
    <n v="2011"/>
  </r>
  <r>
    <s v="IN-2011-69366"/>
    <x v="8"/>
    <d v="2011-01-14T00:00:00"/>
    <x v="3"/>
    <s v="Alejandro Grove"/>
    <x v="1"/>
    <x v="48"/>
    <x v="27"/>
    <x v="3"/>
    <x v="6"/>
    <s v="OFF-LA-10000668"/>
    <x v="0"/>
    <x v="5"/>
    <s v="Smead Removable Labels, Adjustable"/>
    <n v="45"/>
    <n v="5"/>
    <n v="0.17"/>
    <x v="97"/>
    <n v="3.31"/>
    <s v="Medium"/>
    <n v="2011"/>
  </r>
  <r>
    <s v="ID-2011-46483"/>
    <x v="8"/>
    <d v="2011-01-13T00:00:00"/>
    <x v="3"/>
    <s v="Sample Company A"/>
    <x v="0"/>
    <x v="49"/>
    <x v="8"/>
    <x v="3"/>
    <x v="6"/>
    <s v="OFF-PA-10003405"/>
    <x v="0"/>
    <x v="7"/>
    <s v="Green Bar Memo Slips, Premium"/>
    <n v="9"/>
    <n v="1"/>
    <n v="0.45"/>
    <x v="98"/>
    <n v="0.69"/>
    <s v="High"/>
    <n v="20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Region">
  <location ref="A11:C24" firstHeaderRow="0" firstDataRow="1" firstDataCol="1" rowPageCount="1" colPageCount="1"/>
  <pivotFields count="21">
    <pivotField showAll="0"/>
    <pivotField numFmtId="164" showAll="0"/>
    <pivotField numFmtId="164" showAll="0"/>
    <pivotField showAll="0"/>
    <pivotField showAll="0"/>
    <pivotField showAll="0"/>
    <pivotField showAll="0"/>
    <pivotField axis="axisPage" showAll="0">
      <items count="32">
        <item x="13"/>
        <item x="28"/>
        <item x="4"/>
        <item x="5"/>
        <item x="14"/>
        <item x="10"/>
        <item x="22"/>
        <item x="0"/>
        <item x="11"/>
        <item x="6"/>
        <item x="26"/>
        <item x="9"/>
        <item x="16"/>
        <item x="23"/>
        <item x="29"/>
        <item x="18"/>
        <item x="21"/>
        <item x="1"/>
        <item x="3"/>
        <item x="15"/>
        <item x="12"/>
        <item x="8"/>
        <item x="30"/>
        <item x="24"/>
        <item x="7"/>
        <item x="25"/>
        <item x="20"/>
        <item x="19"/>
        <item x="17"/>
        <item x="2"/>
        <item x="27"/>
        <item t="default"/>
      </items>
    </pivotField>
    <pivotField showAll="0"/>
    <pivotField axis="axisRow" showAll="0">
      <items count="13">
        <item x="1"/>
        <item x="9"/>
        <item x="10"/>
        <item x="0"/>
        <item x="11"/>
        <item x="4"/>
        <item x="5"/>
        <item x="8"/>
        <item x="3"/>
        <item x="2"/>
        <item x="6"/>
        <item x="7"/>
        <item t="default"/>
      </items>
    </pivotField>
    <pivotField showAll="0"/>
    <pivotField showAll="0"/>
    <pivotField showAll="0"/>
    <pivotField showAll="0"/>
    <pivotField dataField="1" numFmtId="165" showAll="0"/>
    <pivotField showAll="0"/>
    <pivotField numFmtId="10" showAll="0"/>
    <pivotField dataField="1" numFmtId="165" showAll="0"/>
    <pivotField showAll="0"/>
    <pivotField showAll="0"/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Sum of sales" fld="14" baseField="0" baseItem="0"/>
    <dataField name="Sum of profit" fld="17" baseField="0" baseItem="0"/>
  </dataFields>
  <formats count="20">
    <format dxfId="19">
      <pivotArea field="9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field="9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9" type="button" dataOnly="0" labelOnly="1" outline="0" axis="axisRow" fieldPosition="0"/>
    </format>
    <format dxfId="8">
      <pivotArea dataOnly="0" labelOnly="1" fieldPosition="0">
        <references count="1">
          <reference field="9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9" type="button" dataOnly="0" labelOnly="1" outline="0" axis="axisRow" fieldPosition="0"/>
    </format>
    <format dxfId="2">
      <pivotArea dataOnly="0" labelOnly="1" fieldPosition="0">
        <references count="1">
          <reference field="9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5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6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6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6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63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" format="64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65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" format="66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2" format="67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2" format="68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2" format="69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2" format="70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2" format="71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2" format="72">
      <pivotArea type="data"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chartFormat>
    <chartFormat chart="2" format="73">
      <pivotArea type="data" outline="0" fieldPosition="0">
        <references count="2">
          <reference field="4294967294" count="1" selected="0">
            <x v="1"/>
          </reference>
          <reference field="9" count="1" selected="0">
            <x v="3"/>
          </reference>
        </references>
      </pivotArea>
    </chartFormat>
    <chartFormat chart="2" format="74">
      <pivotArea type="data" outline="0" fieldPosition="0">
        <references count="2">
          <reference field="4294967294" count="1" selected="0">
            <x v="1"/>
          </reference>
          <reference field="9" count="1" selected="0">
            <x v="4"/>
          </reference>
        </references>
      </pivotArea>
    </chartFormat>
    <chartFormat chart="2" format="75">
      <pivotArea type="data" outline="0" fieldPosition="0">
        <references count="2">
          <reference field="4294967294" count="1" selected="0">
            <x v="1"/>
          </reference>
          <reference field="9" count="1" selected="0">
            <x v="5"/>
          </reference>
        </references>
      </pivotArea>
    </chartFormat>
    <chartFormat chart="2" format="76">
      <pivotArea type="data" outline="0" fieldPosition="0">
        <references count="2">
          <reference field="4294967294" count="1" selected="0">
            <x v="1"/>
          </reference>
          <reference field="9" count="1" selected="0">
            <x v="6"/>
          </reference>
        </references>
      </pivotArea>
    </chartFormat>
    <chartFormat chart="2" format="77">
      <pivotArea type="data" outline="0" fieldPosition="0">
        <references count="2">
          <reference field="4294967294" count="1" selected="0">
            <x v="1"/>
          </reference>
          <reference field="9" count="1" selected="0">
            <x v="7"/>
          </reference>
        </references>
      </pivotArea>
    </chartFormat>
    <chartFormat chart="2" format="78">
      <pivotArea type="data" outline="0" fieldPosition="0">
        <references count="2">
          <reference field="4294967294" count="1" selected="0">
            <x v="1"/>
          </reference>
          <reference field="9" count="1" selected="0">
            <x v="8"/>
          </reference>
        </references>
      </pivotArea>
    </chartFormat>
    <chartFormat chart="2" format="79">
      <pivotArea type="data" outline="0" fieldPosition="0">
        <references count="2">
          <reference field="4294967294" count="1" selected="0">
            <x v="1"/>
          </reference>
          <reference field="9" count="1" selected="0">
            <x v="9"/>
          </reference>
        </references>
      </pivotArea>
    </chartFormat>
    <chartFormat chart="2" format="80">
      <pivotArea type="data" outline="0" fieldPosition="0">
        <references count="2">
          <reference field="4294967294" count="1" selected="0">
            <x v="1"/>
          </reference>
          <reference field="9" count="1" selected="0">
            <x v="10"/>
          </reference>
        </references>
      </pivotArea>
    </chartFormat>
    <chartFormat chart="2" format="81">
      <pivotArea type="data" outline="0" fieldPosition="0">
        <references count="2">
          <reference field="4294967294" count="1" selected="0">
            <x v="1"/>
          </reference>
          <reference field="9" count="1" selected="0">
            <x v="11"/>
          </reference>
        </references>
      </pivotArea>
    </chartFormat>
    <chartFormat chart="2" format="8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 rowHeaderCaption="Category">
  <location ref="A3:C7" firstHeaderRow="0" firstDataRow="1" firstDataCol="1"/>
  <pivotFields count="21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numFmtId="165" showAll="0"/>
    <pivotField showAll="0"/>
    <pivotField numFmtId="10" showAll="0"/>
    <pivotField dataField="1" numFmtId="165"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profit" fld="17" baseField="0" baseItem="0"/>
  </dataFields>
  <formats count="47">
    <format dxfId="66">
      <pivotArea field="11" type="button" dataOnly="0" labelOnly="1" outline="0" axis="axisRow" fieldPosition="0"/>
    </format>
    <format dxfId="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4">
      <pivotArea field="11" type="button" dataOnly="0" labelOnly="1" outline="0" axis="axisRow" fieldPosition="0"/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">
      <pivotArea field="11" type="button" dataOnly="0" labelOnly="1" outline="0" axis="axisRow" fieldPosition="0"/>
    </format>
    <format dxfId="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0">
      <pivotArea grandRow="1" outline="0" collapsedLevelsAreSubtotals="1" fieldPosition="0"/>
    </format>
    <format dxfId="59">
      <pivotArea dataOnly="0" labelOnly="1" grandRow="1" outline="0" fieldPosition="0"/>
    </format>
    <format dxfId="58">
      <pivotArea grandRow="1" outline="0" collapsedLevelsAreSubtotals="1" fieldPosition="0"/>
    </format>
    <format dxfId="57">
      <pivotArea dataOnly="0" labelOnly="1" grandRow="1" outline="0" fieldPosition="0"/>
    </format>
    <format dxfId="56">
      <pivotArea grandRow="1" outline="0" collapsedLevelsAreSubtotals="1" fieldPosition="0"/>
    </format>
    <format dxfId="55">
      <pivotArea dataOnly="0" labelOnly="1" grandRow="1" outline="0" fieldPosition="0"/>
    </format>
    <format dxfId="54">
      <pivotArea grandRow="1" outline="0" collapsedLevelsAreSubtotals="1" fieldPosition="0"/>
    </format>
    <format dxfId="53">
      <pivotArea dataOnly="0" labelOnly="1" grandRow="1" outline="0" fieldPosition="0"/>
    </format>
    <format dxfId="52">
      <pivotArea grandRow="1" outline="0" collapsedLevelsAreSubtotals="1" fieldPosition="0"/>
    </format>
    <format dxfId="51">
      <pivotArea dataOnly="0" labelOnly="1" grandRow="1" outline="0" fieldPosition="0"/>
    </format>
    <format dxfId="50">
      <pivotArea grandRow="1" outline="0" collapsedLevelsAreSubtotals="1" fieldPosition="0"/>
    </format>
    <format dxfId="49">
      <pivotArea dataOnly="0" labelOnly="1" grandRow="1" outline="0" fieldPosition="0"/>
    </format>
    <format dxfId="48">
      <pivotArea grandRow="1" outline="0" collapsedLevelsAreSubtotals="1" fieldPosition="0"/>
    </format>
    <format dxfId="47">
      <pivotArea dataOnly="0" labelOnly="1" grandRow="1" outline="0" fieldPosition="0"/>
    </format>
    <format dxfId="46">
      <pivotArea grandRow="1" outline="0" collapsedLevelsAreSubtotals="1" fieldPosition="0"/>
    </format>
    <format dxfId="45">
      <pivotArea dataOnly="0" labelOnly="1" grandRow="1" outline="0" fieldPosition="0"/>
    </format>
    <format dxfId="44">
      <pivotArea grandRow="1" outline="0" collapsedLevelsAreSubtotals="1" fieldPosition="0"/>
    </format>
    <format dxfId="43">
      <pivotArea dataOnly="0" labelOnly="1" grandRow="1" outline="0" fieldPosition="0"/>
    </format>
    <format dxfId="42">
      <pivotArea grandRow="1" outline="0" collapsedLevelsAreSubtotals="1" fieldPosition="0"/>
    </format>
    <format dxfId="41">
      <pivotArea dataOnly="0" labelOnly="1" grandRow="1" outline="0" fieldPosition="0"/>
    </format>
    <format dxfId="40">
      <pivotArea grandRow="1" outline="0" collapsedLevelsAreSubtotals="1" fieldPosition="0"/>
    </format>
    <format dxfId="39">
      <pivotArea dataOnly="0" labelOnly="1" grandRow="1" outline="0" fieldPosition="0"/>
    </format>
    <format dxfId="38">
      <pivotArea grandRow="1" outline="0" collapsedLevelsAreSubtotals="1" fieldPosition="0"/>
    </format>
    <format dxfId="37">
      <pivotArea dataOnly="0" labelOnly="1" grandRow="1" outline="0" fieldPosition="0"/>
    </format>
    <format dxfId="36">
      <pivotArea grandRow="1" outline="0" collapsedLevelsAreSubtotals="1" fieldPosition="0"/>
    </format>
    <format dxfId="35">
      <pivotArea dataOnly="0" labelOnly="1" grandRow="1" outline="0" fieldPosition="0"/>
    </format>
    <format dxfId="34">
      <pivotArea grandRow="1" outline="0" collapsedLevelsAreSubtotals="1" fieldPosition="0"/>
    </format>
    <format dxfId="33">
      <pivotArea dataOnly="0" labelOnly="1" grandRow="1" outline="0" fieldPosition="0"/>
    </format>
    <format dxfId="32">
      <pivotArea dataOnly="0" labelOnly="1" grandRow="1" outline="0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1" type="button" dataOnly="0" labelOnly="1" outline="0" axis="axisRow" fieldPosition="0"/>
    </format>
    <format dxfId="28">
      <pivotArea dataOnly="0" labelOnly="1" fieldPosition="0">
        <references count="1">
          <reference field="11" count="0"/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1" type="button" dataOnly="0" labelOnly="1" outline="0" axis="axisRow" fieldPosition="0"/>
    </format>
    <format dxfId="22">
      <pivotArea dataOnly="0" labelOnly="1" fieldPosition="0">
        <references count="1">
          <reference field="11" count="0"/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SubCategory">
  <location ref="E5:G23" firstHeaderRow="0" firstDataRow="1" firstDataCol="1" rowPageCount="1" colPageCount="1"/>
  <pivotFields count="21">
    <pivotField showAll="0"/>
    <pivotField axis="axisPage" numFmtId="164" showAll="0">
      <items count="10">
        <item x="3"/>
        <item x="7"/>
        <item x="2"/>
        <item x="4"/>
        <item x="0"/>
        <item x="5"/>
        <item x="1"/>
        <item x="6"/>
        <item x="8"/>
        <item t="default"/>
      </items>
    </pivotField>
    <pivotField numFmtId="164"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>
      <items count="51">
        <item x="28"/>
        <item x="43"/>
        <item x="19"/>
        <item x="42"/>
        <item x="45"/>
        <item x="7"/>
        <item x="49"/>
        <item x="13"/>
        <item x="17"/>
        <item x="25"/>
        <item x="21"/>
        <item x="3"/>
        <item x="27"/>
        <item x="4"/>
        <item x="15"/>
        <item x="37"/>
        <item x="12"/>
        <item x="34"/>
        <item x="47"/>
        <item x="39"/>
        <item x="41"/>
        <item x="32"/>
        <item x="48"/>
        <item x="16"/>
        <item x="38"/>
        <item x="46"/>
        <item x="24"/>
        <item x="9"/>
        <item x="5"/>
        <item x="1"/>
        <item x="20"/>
        <item x="18"/>
        <item x="11"/>
        <item x="40"/>
        <item x="2"/>
        <item x="10"/>
        <item x="0"/>
        <item x="6"/>
        <item x="29"/>
        <item x="22"/>
        <item x="44"/>
        <item x="8"/>
        <item x="36"/>
        <item x="35"/>
        <item x="30"/>
        <item x="31"/>
        <item x="33"/>
        <item x="23"/>
        <item x="26"/>
        <item x="14"/>
        <item t="default"/>
      </items>
    </pivotField>
    <pivotField showAll="0"/>
    <pivotField showAll="0"/>
    <pivotField showAll="0">
      <items count="13">
        <item x="1"/>
        <item x="9"/>
        <item x="10"/>
        <item x="0"/>
        <item x="11"/>
        <item x="4"/>
        <item x="5"/>
        <item x="8"/>
        <item x="3"/>
        <item x="2"/>
        <item x="6"/>
        <item x="7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axis="axisRow" showAll="0">
      <items count="18">
        <item x="15"/>
        <item x="4"/>
        <item x="0"/>
        <item x="6"/>
        <item x="3"/>
        <item x="13"/>
        <item x="12"/>
        <item x="16"/>
        <item x="2"/>
        <item x="10"/>
        <item x="5"/>
        <item x="11"/>
        <item x="7"/>
        <item x="14"/>
        <item x="1"/>
        <item x="9"/>
        <item x="8"/>
        <item t="default"/>
      </items>
    </pivotField>
    <pivotField showAll="0"/>
    <pivotField dataField="1" numFmtId="165" showAll="0"/>
    <pivotField showAll="0"/>
    <pivotField numFmtId="10" showAll="0"/>
    <pivotField dataField="1" numFmtId="165" showAll="0">
      <items count="100">
        <item x="88"/>
        <item x="32"/>
        <item x="93"/>
        <item x="75"/>
        <item x="15"/>
        <item x="50"/>
        <item x="36"/>
        <item x="16"/>
        <item x="61"/>
        <item x="90"/>
        <item x="89"/>
        <item x="41"/>
        <item x="76"/>
        <item x="67"/>
        <item x="40"/>
        <item x="14"/>
        <item x="54"/>
        <item x="91"/>
        <item x="92"/>
        <item x="64"/>
        <item x="26"/>
        <item x="81"/>
        <item x="94"/>
        <item x="98"/>
        <item x="57"/>
        <item x="8"/>
        <item x="83"/>
        <item x="18"/>
        <item x="86"/>
        <item x="59"/>
        <item x="52"/>
        <item x="5"/>
        <item x="12"/>
        <item x="58"/>
        <item x="84"/>
        <item x="31"/>
        <item x="39"/>
        <item x="47"/>
        <item x="45"/>
        <item x="63"/>
        <item x="96"/>
        <item x="10"/>
        <item x="71"/>
        <item x="7"/>
        <item x="85"/>
        <item x="55"/>
        <item x="11"/>
        <item x="65"/>
        <item x="51"/>
        <item x="82"/>
        <item x="53"/>
        <item x="17"/>
        <item x="4"/>
        <item x="42"/>
        <item x="22"/>
        <item x="68"/>
        <item x="69"/>
        <item x="70"/>
        <item x="46"/>
        <item x="56"/>
        <item x="80"/>
        <item x="30"/>
        <item x="44"/>
        <item x="97"/>
        <item x="25"/>
        <item x="1"/>
        <item x="48"/>
        <item x="62"/>
        <item x="77"/>
        <item x="43"/>
        <item x="20"/>
        <item x="66"/>
        <item x="13"/>
        <item x="95"/>
        <item x="21"/>
        <item x="28"/>
        <item x="6"/>
        <item x="29"/>
        <item x="38"/>
        <item x="37"/>
        <item x="2"/>
        <item x="49"/>
        <item x="87"/>
        <item x="35"/>
        <item x="78"/>
        <item x="0"/>
        <item x="27"/>
        <item x="9"/>
        <item x="74"/>
        <item x="3"/>
        <item x="24"/>
        <item x="79"/>
        <item x="33"/>
        <item x="23"/>
        <item x="73"/>
        <item x="34"/>
        <item x="19"/>
        <item x="72"/>
        <item x="60"/>
        <item t="default"/>
      </items>
    </pivotField>
    <pivotField showAll="0"/>
    <pivotField showAll="0"/>
    <pivotField showAll="0"/>
  </pivotFields>
  <rowFields count="1">
    <field x="1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sales" fld="14" baseField="0" baseItem="0"/>
    <dataField name="Sum of profit" fld="17" baseField="0" baseItem="0"/>
  </dataFields>
  <formats count="12">
    <format dxfId="78">
      <pivotArea field="12" type="button" dataOnly="0" labelOnly="1" outline="0" axis="axisRow" fieldPosition="0"/>
    </format>
    <format dxfId="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6">
      <pivotArea field="12" type="button" dataOnly="0" labelOnly="1" outline="0" axis="axisRow" fieldPosition="0"/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">
      <pivotArea field="12" type="button" dataOnly="0" labelOnly="1" outline="0" axis="axisRow" fieldPosition="0"/>
    </format>
    <format dxfId="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2">
      <pivotArea grandRow="1" outline="0" collapsedLevelsAreSubtotals="1" fieldPosition="0"/>
    </format>
    <format dxfId="71">
      <pivotArea dataOnly="0" labelOnly="1" grandRow="1" outline="0" fieldPosition="0"/>
    </format>
    <format dxfId="70">
      <pivotArea grandRow="1" outline="0" collapsedLevelsAreSubtotals="1" fieldPosition="0"/>
    </format>
    <format dxfId="69">
      <pivotArea dataOnly="0" labelOnly="1" grandRow="1" outline="0" fieldPosition="0"/>
    </format>
    <format dxfId="68">
      <pivotArea grandRow="1" outline="0" collapsedLevelsAreSubtotals="1" fieldPosition="0"/>
    </format>
    <format dxfId="67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Market">
  <location ref="A26:D34" firstHeaderRow="0" firstDataRow="1" firstDataCol="1"/>
  <pivotFields count="21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>
      <items count="8">
        <item x="1"/>
        <item x="3"/>
        <item x="6"/>
        <item x="5"/>
        <item x="0"/>
        <item x="4"/>
        <item x="2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showAll="0"/>
    <pivotField dataField="1" numFmtId="10" showAll="0"/>
    <pivotField dataField="1" numFmtId="165" showAll="0"/>
    <pivotField showAll="0"/>
    <pivotField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4" baseField="0" baseItem="0"/>
    <dataField name="Sum of discount" fld="16" baseField="0" baseItem="0"/>
    <dataField name="Sum of profit" fld="17" baseField="0" baseItem="0"/>
  </dataFields>
  <formats count="20">
    <format dxfId="98">
      <pivotArea field="8" type="button" dataOnly="0" labelOnly="1" outline="0" axis="axisRow" fieldPosition="0"/>
    </format>
    <format dxfId="9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6">
      <pivotArea field="8" type="button" dataOnly="0" labelOnly="1" outline="0" axis="axisRow" fieldPosition="0"/>
    </format>
    <format dxfId="9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4">
      <pivotArea grandRow="1" outline="0" collapsedLevelsAreSubtotals="1" fieldPosition="0"/>
    </format>
    <format dxfId="93">
      <pivotArea dataOnly="0" labelOnly="1" grandRow="1" outline="0" fieldPosition="0"/>
    </format>
    <format dxfId="92">
      <pivotArea grandRow="1" outline="0" collapsedLevelsAreSubtotals="1" fieldPosition="0"/>
    </format>
    <format dxfId="91">
      <pivotArea dataOnly="0" labelOnly="1" grandRow="1" outline="0" fieldPosition="0"/>
    </format>
    <format dxfId="9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89">
      <pivotArea field="8" type="button" dataOnly="0" labelOnly="1" outline="0" axis="axisRow" fieldPosition="0"/>
    </format>
    <format dxfId="88">
      <pivotArea dataOnly="0" labelOnly="1" fieldPosition="0">
        <references count="1">
          <reference field="8" count="0"/>
        </references>
      </pivotArea>
    </format>
    <format dxfId="87">
      <pivotArea dataOnly="0" labelOnly="1" grandRow="1" outline="0" fieldPosition="0"/>
    </format>
    <format dxfId="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5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84">
      <pivotArea field="8" type="button" dataOnly="0" labelOnly="1" outline="0" axis="axisRow" fieldPosition="0"/>
    </format>
    <format dxfId="83">
      <pivotArea dataOnly="0" labelOnly="1" fieldPosition="0">
        <references count="1">
          <reference field="8" count="0"/>
        </references>
      </pivotArea>
    </format>
    <format dxfId="82">
      <pivotArea dataOnly="0" labelOnly="1" grandRow="1" outline="0" fieldPosition="0"/>
    </format>
    <format dxfId="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0">
      <pivotArea dataOnly="0" outline="0" fieldPosition="0">
        <references count="1">
          <reference field="4294967294" count="1">
            <x v="2"/>
          </reference>
        </references>
      </pivotArea>
    </format>
    <format dxfId="79">
      <pivotArea dataOnly="0" outline="0" fieldPosition="0">
        <references count="1">
          <reference field="4294967294" count="1">
            <x v="2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"/>
  <sheetViews>
    <sheetView workbookViewId="0">
      <selection sqref="A1:U1"/>
    </sheetView>
  </sheetViews>
  <sheetFormatPr defaultRowHeight="14.5" x14ac:dyDescent="0.35"/>
  <cols>
    <col min="1" max="1" width="15.453125" customWidth="1"/>
    <col min="2" max="2" width="15" style="3" customWidth="1"/>
    <col min="3" max="3" width="17.08984375" style="3" customWidth="1"/>
    <col min="4" max="4" width="13.08984375" customWidth="1"/>
    <col min="5" max="5" width="17.6328125" customWidth="1"/>
    <col min="6" max="6" width="14" customWidth="1"/>
    <col min="7" max="7" width="28.81640625" customWidth="1"/>
    <col min="8" max="8" width="15.08984375" customWidth="1"/>
    <col min="9" max="9" width="10.36328125" customWidth="1"/>
    <col min="10" max="10" width="14.453125" customWidth="1"/>
    <col min="11" max="11" width="17.6328125" customWidth="1"/>
    <col min="12" max="12" width="14.453125" customWidth="1"/>
    <col min="13" max="13" width="12.1796875" customWidth="1"/>
    <col min="14" max="14" width="49.81640625" customWidth="1"/>
    <col min="15" max="15" width="9.26953125" style="7" bestFit="1" customWidth="1"/>
    <col min="17" max="17" width="8.7265625" style="5"/>
    <col min="18" max="18" width="9.90625" style="7" customWidth="1"/>
    <col min="19" max="19" width="13.36328125" customWidth="1"/>
    <col min="20" max="20" width="13.81640625" customWidth="1"/>
  </cols>
  <sheetData>
    <row r="1" spans="1:21" ht="22" customHeight="1" x14ac:dyDescent="0.35">
      <c r="A1" s="30" t="s">
        <v>0</v>
      </c>
      <c r="B1" s="31" t="s">
        <v>1</v>
      </c>
      <c r="C1" s="31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2" t="s">
        <v>14</v>
      </c>
      <c r="P1" s="30" t="s">
        <v>15</v>
      </c>
      <c r="Q1" s="33" t="s">
        <v>16</v>
      </c>
      <c r="R1" s="32" t="s">
        <v>17</v>
      </c>
      <c r="S1" s="30" t="s">
        <v>18</v>
      </c>
      <c r="T1" s="30" t="s">
        <v>19</v>
      </c>
      <c r="U1" s="30" t="s">
        <v>20</v>
      </c>
    </row>
    <row r="2" spans="1:21" x14ac:dyDescent="0.35">
      <c r="A2" s="1" t="s">
        <v>248</v>
      </c>
      <c r="B2" s="2">
        <v>40548</v>
      </c>
      <c r="C2" s="2">
        <v>40550</v>
      </c>
      <c r="D2" s="1" t="s">
        <v>249</v>
      </c>
      <c r="E2" s="1" t="s">
        <v>250</v>
      </c>
      <c r="F2" s="1" t="s">
        <v>53</v>
      </c>
      <c r="G2" s="1" t="s">
        <v>195</v>
      </c>
      <c r="H2" s="1" t="s">
        <v>196</v>
      </c>
      <c r="I2" s="1" t="s">
        <v>56</v>
      </c>
      <c r="J2" s="1" t="s">
        <v>127</v>
      </c>
      <c r="K2" s="1" t="s">
        <v>251</v>
      </c>
      <c r="L2" s="1" t="s">
        <v>29</v>
      </c>
      <c r="M2" s="1" t="s">
        <v>155</v>
      </c>
      <c r="N2" s="1" t="s">
        <v>252</v>
      </c>
      <c r="O2" s="6">
        <v>207</v>
      </c>
      <c r="P2" s="1">
        <v>4</v>
      </c>
      <c r="Q2" s="4">
        <v>0</v>
      </c>
      <c r="R2" s="6">
        <v>76.56</v>
      </c>
      <c r="S2" s="1">
        <v>20.64</v>
      </c>
      <c r="T2" s="1" t="s">
        <v>32</v>
      </c>
      <c r="U2" s="1">
        <v>2011</v>
      </c>
    </row>
    <row r="3" spans="1:21" x14ac:dyDescent="0.35">
      <c r="A3" s="1" t="s">
        <v>248</v>
      </c>
      <c r="B3" s="2">
        <v>40548</v>
      </c>
      <c r="C3" s="2">
        <v>40550</v>
      </c>
      <c r="D3" s="1" t="s">
        <v>249</v>
      </c>
      <c r="E3" s="1" t="s">
        <v>250</v>
      </c>
      <c r="F3" s="1" t="s">
        <v>53</v>
      </c>
      <c r="G3" s="1" t="s">
        <v>195</v>
      </c>
      <c r="H3" s="1" t="s">
        <v>196</v>
      </c>
      <c r="I3" s="1" t="s">
        <v>56</v>
      </c>
      <c r="J3" s="1" t="s">
        <v>127</v>
      </c>
      <c r="K3" s="1" t="s">
        <v>253</v>
      </c>
      <c r="L3" s="1" t="s">
        <v>29</v>
      </c>
      <c r="M3" s="1" t="s">
        <v>155</v>
      </c>
      <c r="N3" s="1" t="s">
        <v>254</v>
      </c>
      <c r="O3" s="6">
        <v>90</v>
      </c>
      <c r="P3" s="1">
        <v>3</v>
      </c>
      <c r="Q3" s="4">
        <v>0</v>
      </c>
      <c r="R3" s="6">
        <v>20.52</v>
      </c>
      <c r="S3" s="1">
        <v>15.27</v>
      </c>
      <c r="T3" s="1" t="s">
        <v>32</v>
      </c>
      <c r="U3" s="1">
        <v>2011</v>
      </c>
    </row>
    <row r="4" spans="1:21" x14ac:dyDescent="0.35">
      <c r="A4" s="1" t="s">
        <v>318</v>
      </c>
      <c r="B4" s="2">
        <v>40550</v>
      </c>
      <c r="C4" s="2">
        <v>40553</v>
      </c>
      <c r="D4" s="1" t="s">
        <v>249</v>
      </c>
      <c r="E4" s="1" t="s">
        <v>124</v>
      </c>
      <c r="F4" s="1" t="s">
        <v>24</v>
      </c>
      <c r="G4" s="1" t="s">
        <v>319</v>
      </c>
      <c r="H4" s="1" t="s">
        <v>320</v>
      </c>
      <c r="I4" s="1" t="s">
        <v>27</v>
      </c>
      <c r="J4" s="1" t="s">
        <v>27</v>
      </c>
      <c r="K4" s="1" t="s">
        <v>321</v>
      </c>
      <c r="L4" s="1" t="s">
        <v>29</v>
      </c>
      <c r="M4" s="1" t="s">
        <v>30</v>
      </c>
      <c r="N4" s="1" t="s">
        <v>322</v>
      </c>
      <c r="O4" s="6">
        <v>256</v>
      </c>
      <c r="P4" s="1">
        <v>2</v>
      </c>
      <c r="Q4" s="4">
        <v>0</v>
      </c>
      <c r="R4" s="6">
        <v>46.02</v>
      </c>
      <c r="S4" s="1">
        <v>52.46</v>
      </c>
      <c r="T4" s="1" t="s">
        <v>50</v>
      </c>
      <c r="U4" s="1">
        <v>2011</v>
      </c>
    </row>
    <row r="5" spans="1:21" x14ac:dyDescent="0.35">
      <c r="A5" s="1" t="s">
        <v>329</v>
      </c>
      <c r="B5" s="2">
        <v>40550</v>
      </c>
      <c r="C5" s="2">
        <v>40551</v>
      </c>
      <c r="D5" s="1" t="s">
        <v>249</v>
      </c>
      <c r="E5" s="1" t="s">
        <v>330</v>
      </c>
      <c r="F5" s="1" t="s">
        <v>78</v>
      </c>
      <c r="G5" s="1" t="s">
        <v>331</v>
      </c>
      <c r="H5" s="1" t="s">
        <v>196</v>
      </c>
      <c r="I5" s="1" t="s">
        <v>56</v>
      </c>
      <c r="J5" s="1" t="s">
        <v>127</v>
      </c>
      <c r="K5" s="1" t="s">
        <v>332</v>
      </c>
      <c r="L5" s="1" t="s">
        <v>29</v>
      </c>
      <c r="M5" s="1" t="s">
        <v>30</v>
      </c>
      <c r="N5" s="1" t="s">
        <v>333</v>
      </c>
      <c r="O5" s="6">
        <v>716</v>
      </c>
      <c r="P5" s="1">
        <v>4</v>
      </c>
      <c r="Q5" s="4">
        <v>0.1</v>
      </c>
      <c r="R5" s="6">
        <v>143.16</v>
      </c>
      <c r="S5" s="1">
        <v>32.46</v>
      </c>
      <c r="T5" s="1" t="s">
        <v>32</v>
      </c>
      <c r="U5" s="1">
        <v>2011</v>
      </c>
    </row>
    <row r="6" spans="1:21" x14ac:dyDescent="0.35">
      <c r="A6" s="1" t="s">
        <v>318</v>
      </c>
      <c r="B6" s="2">
        <v>40550</v>
      </c>
      <c r="C6" s="2">
        <v>40553</v>
      </c>
      <c r="D6" s="1" t="s">
        <v>249</v>
      </c>
      <c r="E6" s="1" t="s">
        <v>124</v>
      </c>
      <c r="F6" s="1" t="s">
        <v>24</v>
      </c>
      <c r="G6" s="1" t="s">
        <v>319</v>
      </c>
      <c r="H6" s="1" t="s">
        <v>320</v>
      </c>
      <c r="I6" s="1" t="s">
        <v>27</v>
      </c>
      <c r="J6" s="1" t="s">
        <v>27</v>
      </c>
      <c r="K6" s="1" t="s">
        <v>344</v>
      </c>
      <c r="L6" s="1" t="s">
        <v>29</v>
      </c>
      <c r="M6" s="1" t="s">
        <v>155</v>
      </c>
      <c r="N6" s="1" t="s">
        <v>345</v>
      </c>
      <c r="O6" s="6">
        <v>45</v>
      </c>
      <c r="P6" s="1">
        <v>1</v>
      </c>
      <c r="Q6" s="4">
        <v>0</v>
      </c>
      <c r="R6" s="6">
        <v>8.49</v>
      </c>
      <c r="S6" s="1">
        <v>13.7</v>
      </c>
      <c r="T6" s="1" t="s">
        <v>50</v>
      </c>
      <c r="U6" s="1">
        <v>2011</v>
      </c>
    </row>
    <row r="7" spans="1:21" x14ac:dyDescent="0.35">
      <c r="A7" s="1" t="s">
        <v>329</v>
      </c>
      <c r="B7" s="2">
        <v>40550</v>
      </c>
      <c r="C7" s="2">
        <v>40551</v>
      </c>
      <c r="D7" s="1" t="s">
        <v>249</v>
      </c>
      <c r="E7" s="1" t="s">
        <v>330</v>
      </c>
      <c r="F7" s="1" t="s">
        <v>78</v>
      </c>
      <c r="G7" s="1" t="s">
        <v>331</v>
      </c>
      <c r="H7" s="1" t="s">
        <v>196</v>
      </c>
      <c r="I7" s="1" t="s">
        <v>56</v>
      </c>
      <c r="J7" s="1" t="s">
        <v>127</v>
      </c>
      <c r="K7" s="1" t="s">
        <v>346</v>
      </c>
      <c r="L7" s="1" t="s">
        <v>29</v>
      </c>
      <c r="M7" s="1" t="s">
        <v>169</v>
      </c>
      <c r="N7" s="1" t="s">
        <v>347</v>
      </c>
      <c r="O7" s="6">
        <v>33</v>
      </c>
      <c r="P7" s="1">
        <v>3</v>
      </c>
      <c r="Q7" s="4">
        <v>0</v>
      </c>
      <c r="R7" s="6">
        <v>2.25</v>
      </c>
      <c r="S7" s="1">
        <v>9.73</v>
      </c>
      <c r="T7" s="1" t="s">
        <v>32</v>
      </c>
      <c r="U7" s="1">
        <v>2011</v>
      </c>
    </row>
    <row r="8" spans="1:21" x14ac:dyDescent="0.35">
      <c r="A8" s="1" t="s">
        <v>329</v>
      </c>
      <c r="B8" s="2">
        <v>40550</v>
      </c>
      <c r="C8" s="2">
        <v>40551</v>
      </c>
      <c r="D8" s="1" t="s">
        <v>249</v>
      </c>
      <c r="E8" s="1" t="s">
        <v>330</v>
      </c>
      <c r="F8" s="1" t="s">
        <v>78</v>
      </c>
      <c r="G8" s="1" t="s">
        <v>331</v>
      </c>
      <c r="H8" s="1" t="s">
        <v>196</v>
      </c>
      <c r="I8" s="1" t="s">
        <v>56</v>
      </c>
      <c r="J8" s="1" t="s">
        <v>127</v>
      </c>
      <c r="K8" s="1" t="s">
        <v>348</v>
      </c>
      <c r="L8" s="1" t="s">
        <v>62</v>
      </c>
      <c r="M8" s="1" t="s">
        <v>113</v>
      </c>
      <c r="N8" s="1" t="s">
        <v>349</v>
      </c>
      <c r="O8" s="6">
        <v>155</v>
      </c>
      <c r="P8" s="1">
        <v>1</v>
      </c>
      <c r="Q8" s="4">
        <v>0.1</v>
      </c>
      <c r="R8" s="6">
        <v>36.228000000000002</v>
      </c>
      <c r="S8" s="1">
        <v>5.72</v>
      </c>
      <c r="T8" s="1" t="s">
        <v>32</v>
      </c>
      <c r="U8" s="1">
        <v>2011</v>
      </c>
    </row>
    <row r="9" spans="1:21" x14ac:dyDescent="0.35">
      <c r="A9" s="1" t="s">
        <v>367</v>
      </c>
      <c r="B9" s="2">
        <v>40550</v>
      </c>
      <c r="C9" s="2">
        <v>40551</v>
      </c>
      <c r="D9" s="1" t="s">
        <v>249</v>
      </c>
      <c r="E9" s="1" t="s">
        <v>368</v>
      </c>
      <c r="F9" s="1" t="s">
        <v>78</v>
      </c>
      <c r="G9" s="1" t="s">
        <v>369</v>
      </c>
      <c r="H9" s="1" t="s">
        <v>221</v>
      </c>
      <c r="I9" s="1" t="s">
        <v>222</v>
      </c>
      <c r="J9" s="1" t="s">
        <v>177</v>
      </c>
      <c r="K9" s="1" t="s">
        <v>370</v>
      </c>
      <c r="L9" s="1" t="s">
        <v>29</v>
      </c>
      <c r="M9" s="1" t="s">
        <v>155</v>
      </c>
      <c r="N9" s="1" t="s">
        <v>371</v>
      </c>
      <c r="O9" s="6">
        <v>13</v>
      </c>
      <c r="P9" s="1">
        <v>3</v>
      </c>
      <c r="Q9" s="4">
        <v>0</v>
      </c>
      <c r="R9" s="6">
        <v>5.2397999999999998</v>
      </c>
      <c r="S9" s="1">
        <v>3.51</v>
      </c>
      <c r="T9" s="1" t="s">
        <v>82</v>
      </c>
      <c r="U9" s="1">
        <v>2011</v>
      </c>
    </row>
    <row r="10" spans="1:21" x14ac:dyDescent="0.35">
      <c r="A10" s="1" t="s">
        <v>387</v>
      </c>
      <c r="B10" s="2">
        <v>40550</v>
      </c>
      <c r="C10" s="2">
        <v>40553</v>
      </c>
      <c r="D10" s="1" t="s">
        <v>249</v>
      </c>
      <c r="E10" s="1" t="s">
        <v>388</v>
      </c>
      <c r="F10" s="1" t="s">
        <v>24</v>
      </c>
      <c r="G10" s="1" t="s">
        <v>389</v>
      </c>
      <c r="H10" s="1" t="s">
        <v>390</v>
      </c>
      <c r="I10" s="1" t="s">
        <v>56</v>
      </c>
      <c r="J10" s="1" t="s">
        <v>127</v>
      </c>
      <c r="K10" s="1" t="s">
        <v>391</v>
      </c>
      <c r="L10" s="1" t="s">
        <v>29</v>
      </c>
      <c r="M10" s="1" t="s">
        <v>155</v>
      </c>
      <c r="N10" s="1" t="s">
        <v>392</v>
      </c>
      <c r="O10" s="6">
        <v>5</v>
      </c>
      <c r="P10" s="1">
        <v>1</v>
      </c>
      <c r="Q10" s="4">
        <v>0.5</v>
      </c>
      <c r="R10" s="6">
        <v>-0.105</v>
      </c>
      <c r="S10" s="1">
        <v>0.28000000000000003</v>
      </c>
      <c r="T10" s="1" t="s">
        <v>32</v>
      </c>
      <c r="U10" s="1">
        <v>2011</v>
      </c>
    </row>
    <row r="11" spans="1:21" x14ac:dyDescent="0.35">
      <c r="A11" s="1" t="s">
        <v>75</v>
      </c>
      <c r="B11" s="2">
        <v>40546</v>
      </c>
      <c r="C11" s="2">
        <v>40546</v>
      </c>
      <c r="D11" s="1" t="s">
        <v>76</v>
      </c>
      <c r="E11" s="1" t="s">
        <v>77</v>
      </c>
      <c r="F11" s="1" t="s">
        <v>78</v>
      </c>
      <c r="G11" s="1" t="s">
        <v>35</v>
      </c>
      <c r="H11" s="1" t="s">
        <v>36</v>
      </c>
      <c r="I11" s="1" t="s">
        <v>37</v>
      </c>
      <c r="J11" s="1" t="s">
        <v>38</v>
      </c>
      <c r="K11" s="1" t="s">
        <v>79</v>
      </c>
      <c r="L11" s="1" t="s">
        <v>29</v>
      </c>
      <c r="M11" s="1" t="s">
        <v>80</v>
      </c>
      <c r="N11" s="1" t="s">
        <v>81</v>
      </c>
      <c r="O11" s="6">
        <v>276</v>
      </c>
      <c r="P11" s="1">
        <v>1</v>
      </c>
      <c r="Q11" s="4">
        <v>0.1</v>
      </c>
      <c r="R11" s="6">
        <v>110.41200000000001</v>
      </c>
      <c r="S11" s="1">
        <v>125.32</v>
      </c>
      <c r="T11" s="1" t="s">
        <v>82</v>
      </c>
      <c r="U11" s="1">
        <v>2011</v>
      </c>
    </row>
    <row r="12" spans="1:21" x14ac:dyDescent="0.35">
      <c r="A12" s="1" t="s">
        <v>75</v>
      </c>
      <c r="B12" s="2">
        <v>40546</v>
      </c>
      <c r="C12" s="2">
        <v>40546</v>
      </c>
      <c r="D12" s="1" t="s">
        <v>76</v>
      </c>
      <c r="E12" s="1" t="s">
        <v>77</v>
      </c>
      <c r="F12" s="1" t="s">
        <v>78</v>
      </c>
      <c r="G12" s="1" t="s">
        <v>35</v>
      </c>
      <c r="H12" s="1" t="s">
        <v>36</v>
      </c>
      <c r="I12" s="1" t="s">
        <v>37</v>
      </c>
      <c r="J12" s="1" t="s">
        <v>38</v>
      </c>
      <c r="K12" s="1" t="s">
        <v>148</v>
      </c>
      <c r="L12" s="1" t="s">
        <v>29</v>
      </c>
      <c r="M12" s="1" t="s">
        <v>149</v>
      </c>
      <c r="N12" s="1" t="s">
        <v>150</v>
      </c>
      <c r="O12" s="6">
        <v>36</v>
      </c>
      <c r="P12" s="1">
        <v>3</v>
      </c>
      <c r="Q12" s="4">
        <v>0.1</v>
      </c>
      <c r="R12" s="6">
        <v>4.7430000000000003</v>
      </c>
      <c r="S12" s="1">
        <v>7.46</v>
      </c>
      <c r="T12" s="1" t="s">
        <v>82</v>
      </c>
      <c r="U12" s="1">
        <v>2011</v>
      </c>
    </row>
    <row r="13" spans="1:21" x14ac:dyDescent="0.35">
      <c r="A13" s="1" t="s">
        <v>361</v>
      </c>
      <c r="B13" s="2">
        <v>40550</v>
      </c>
      <c r="C13" s="2">
        <v>40550</v>
      </c>
      <c r="D13" s="1" t="s">
        <v>76</v>
      </c>
      <c r="E13" s="1" t="s">
        <v>109</v>
      </c>
      <c r="F13" s="1" t="s">
        <v>24</v>
      </c>
      <c r="G13" s="1" t="s">
        <v>362</v>
      </c>
      <c r="H13" s="1" t="s">
        <v>176</v>
      </c>
      <c r="I13" s="1" t="s">
        <v>126</v>
      </c>
      <c r="J13" s="1" t="s">
        <v>177</v>
      </c>
      <c r="K13" s="1" t="s">
        <v>363</v>
      </c>
      <c r="L13" s="1" t="s">
        <v>29</v>
      </c>
      <c r="M13" s="1" t="s">
        <v>169</v>
      </c>
      <c r="N13" s="1" t="s">
        <v>364</v>
      </c>
      <c r="O13" s="6">
        <v>43</v>
      </c>
      <c r="P13" s="1">
        <v>4</v>
      </c>
      <c r="Q13" s="4">
        <v>0</v>
      </c>
      <c r="R13" s="6">
        <v>6</v>
      </c>
      <c r="S13" s="1">
        <v>3.94</v>
      </c>
      <c r="T13" s="1" t="s">
        <v>50</v>
      </c>
      <c r="U13" s="1">
        <v>2011</v>
      </c>
    </row>
    <row r="14" spans="1:21" x14ac:dyDescent="0.35">
      <c r="A14" s="1" t="s">
        <v>361</v>
      </c>
      <c r="B14" s="2">
        <v>40550</v>
      </c>
      <c r="C14" s="2">
        <v>40550</v>
      </c>
      <c r="D14" s="1" t="s">
        <v>76</v>
      </c>
      <c r="E14" s="1" t="s">
        <v>109</v>
      </c>
      <c r="F14" s="1" t="s">
        <v>24</v>
      </c>
      <c r="G14" s="1" t="s">
        <v>362</v>
      </c>
      <c r="H14" s="1" t="s">
        <v>176</v>
      </c>
      <c r="I14" s="1" t="s">
        <v>126</v>
      </c>
      <c r="J14" s="1" t="s">
        <v>177</v>
      </c>
      <c r="K14" s="1" t="s">
        <v>365</v>
      </c>
      <c r="L14" s="1" t="s">
        <v>29</v>
      </c>
      <c r="M14" s="1" t="s">
        <v>241</v>
      </c>
      <c r="N14" s="1" t="s">
        <v>366</v>
      </c>
      <c r="O14" s="6">
        <v>19</v>
      </c>
      <c r="P14" s="1">
        <v>3</v>
      </c>
      <c r="Q14" s="4">
        <v>0</v>
      </c>
      <c r="R14" s="6">
        <v>2.4</v>
      </c>
      <c r="S14" s="1">
        <v>3.69</v>
      </c>
      <c r="T14" s="1" t="s">
        <v>50</v>
      </c>
      <c r="U14" s="1">
        <v>2011</v>
      </c>
    </row>
    <row r="15" spans="1:21" x14ac:dyDescent="0.35">
      <c r="A15" s="1" t="s">
        <v>42</v>
      </c>
      <c r="B15" s="2">
        <v>40544</v>
      </c>
      <c r="C15" s="2">
        <v>40548</v>
      </c>
      <c r="D15" s="1" t="s">
        <v>43</v>
      </c>
      <c r="E15" s="1" t="s">
        <v>44</v>
      </c>
      <c r="F15" s="1" t="s">
        <v>24</v>
      </c>
      <c r="G15" s="1" t="s">
        <v>45</v>
      </c>
      <c r="H15" s="1" t="s">
        <v>46</v>
      </c>
      <c r="I15" s="1" t="s">
        <v>47</v>
      </c>
      <c r="J15" s="1" t="s">
        <v>47</v>
      </c>
      <c r="K15" s="1" t="s">
        <v>48</v>
      </c>
      <c r="L15" s="1" t="s">
        <v>29</v>
      </c>
      <c r="M15" s="1" t="s">
        <v>30</v>
      </c>
      <c r="N15" s="1" t="s">
        <v>49</v>
      </c>
      <c r="O15" s="6">
        <v>66</v>
      </c>
      <c r="P15" s="1">
        <v>4</v>
      </c>
      <c r="Q15" s="4">
        <v>0</v>
      </c>
      <c r="R15" s="6">
        <v>29.64</v>
      </c>
      <c r="S15" s="1">
        <v>8.17</v>
      </c>
      <c r="T15" s="1" t="s">
        <v>50</v>
      </c>
      <c r="U15" s="1">
        <v>2011</v>
      </c>
    </row>
    <row r="16" spans="1:21" x14ac:dyDescent="0.35">
      <c r="A16" s="1" t="s">
        <v>51</v>
      </c>
      <c r="B16" s="2">
        <v>40544</v>
      </c>
      <c r="C16" s="2">
        <v>40548</v>
      </c>
      <c r="D16" s="1" t="s">
        <v>43</v>
      </c>
      <c r="E16" s="1" t="s">
        <v>52</v>
      </c>
      <c r="F16" s="1" t="s">
        <v>53</v>
      </c>
      <c r="G16" s="1" t="s">
        <v>54</v>
      </c>
      <c r="H16" s="1" t="s">
        <v>55</v>
      </c>
      <c r="I16" s="1" t="s">
        <v>56</v>
      </c>
      <c r="J16" s="1" t="s">
        <v>57</v>
      </c>
      <c r="K16" s="1" t="s">
        <v>58</v>
      </c>
      <c r="L16" s="1" t="s">
        <v>29</v>
      </c>
      <c r="M16" s="1" t="s">
        <v>59</v>
      </c>
      <c r="N16" s="1" t="s">
        <v>60</v>
      </c>
      <c r="O16" s="6">
        <v>45</v>
      </c>
      <c r="P16" s="1">
        <v>3</v>
      </c>
      <c r="Q16" s="4">
        <v>0.5</v>
      </c>
      <c r="R16" s="6">
        <v>-26.055</v>
      </c>
      <c r="S16" s="1">
        <v>4.82</v>
      </c>
      <c r="T16" s="1" t="s">
        <v>50</v>
      </c>
      <c r="U16" s="1">
        <v>2011</v>
      </c>
    </row>
    <row r="17" spans="1:21" x14ac:dyDescent="0.35">
      <c r="A17" s="1" t="s">
        <v>98</v>
      </c>
      <c r="B17" s="2">
        <v>40546</v>
      </c>
      <c r="C17" s="2">
        <v>40550</v>
      </c>
      <c r="D17" s="1" t="s">
        <v>43</v>
      </c>
      <c r="E17" s="1" t="s">
        <v>99</v>
      </c>
      <c r="F17" s="1" t="s">
        <v>24</v>
      </c>
      <c r="G17" s="1" t="s">
        <v>100</v>
      </c>
      <c r="H17" s="1" t="s">
        <v>101</v>
      </c>
      <c r="I17" s="1" t="s">
        <v>37</v>
      </c>
      <c r="J17" s="1" t="s">
        <v>102</v>
      </c>
      <c r="K17" s="1" t="s">
        <v>103</v>
      </c>
      <c r="L17" s="1" t="s">
        <v>29</v>
      </c>
      <c r="M17" s="1" t="s">
        <v>30</v>
      </c>
      <c r="N17" s="1" t="s">
        <v>104</v>
      </c>
      <c r="O17" s="6">
        <v>338</v>
      </c>
      <c r="P17" s="1">
        <v>3</v>
      </c>
      <c r="Q17" s="4">
        <v>0.45</v>
      </c>
      <c r="R17" s="6">
        <v>-122.8005</v>
      </c>
      <c r="S17" s="1">
        <v>33.75</v>
      </c>
      <c r="T17" s="1" t="s">
        <v>50</v>
      </c>
      <c r="U17" s="1">
        <v>2011</v>
      </c>
    </row>
    <row r="18" spans="1:21" ht="15" customHeight="1" x14ac:dyDescent="0.35">
      <c r="A18" s="1" t="s">
        <v>98</v>
      </c>
      <c r="B18" s="2">
        <v>40546</v>
      </c>
      <c r="C18" s="2">
        <v>40550</v>
      </c>
      <c r="D18" s="1" t="s">
        <v>43</v>
      </c>
      <c r="E18" s="1" t="s">
        <v>99</v>
      </c>
      <c r="F18" s="1" t="s">
        <v>24</v>
      </c>
      <c r="G18" s="1" t="s">
        <v>100</v>
      </c>
      <c r="H18" s="1" t="s">
        <v>101</v>
      </c>
      <c r="I18" s="1" t="s">
        <v>37</v>
      </c>
      <c r="J18" s="1" t="s">
        <v>102</v>
      </c>
      <c r="K18" s="1" t="s">
        <v>105</v>
      </c>
      <c r="L18" s="1" t="s">
        <v>62</v>
      </c>
      <c r="M18" s="1" t="s">
        <v>106</v>
      </c>
      <c r="N18" s="1" t="s">
        <v>107</v>
      </c>
      <c r="O18" s="6">
        <v>211</v>
      </c>
      <c r="P18" s="1">
        <v>1</v>
      </c>
      <c r="Q18" s="4">
        <v>0.55000000000000004</v>
      </c>
      <c r="R18" s="6">
        <v>-70.399500000000003</v>
      </c>
      <c r="S18" s="1">
        <v>21.32</v>
      </c>
      <c r="T18" s="1" t="s">
        <v>50</v>
      </c>
      <c r="U18" s="1">
        <v>2011</v>
      </c>
    </row>
    <row r="19" spans="1:21" x14ac:dyDescent="0.35">
      <c r="A19" s="1" t="s">
        <v>151</v>
      </c>
      <c r="B19" s="2">
        <v>40546</v>
      </c>
      <c r="C19" s="2">
        <v>40551</v>
      </c>
      <c r="D19" s="1" t="s">
        <v>43</v>
      </c>
      <c r="E19" s="1" t="s">
        <v>152</v>
      </c>
      <c r="F19" s="1" t="s">
        <v>78</v>
      </c>
      <c r="G19" s="1" t="s">
        <v>153</v>
      </c>
      <c r="H19" s="1" t="s">
        <v>134</v>
      </c>
      <c r="I19" s="1" t="s">
        <v>47</v>
      </c>
      <c r="J19" s="1" t="s">
        <v>47</v>
      </c>
      <c r="K19" s="1" t="s">
        <v>154</v>
      </c>
      <c r="L19" s="1" t="s">
        <v>29</v>
      </c>
      <c r="M19" s="1" t="s">
        <v>155</v>
      </c>
      <c r="N19" s="1" t="s">
        <v>156</v>
      </c>
      <c r="O19" s="6">
        <v>52</v>
      </c>
      <c r="P19" s="1">
        <v>1</v>
      </c>
      <c r="Q19" s="4">
        <v>0</v>
      </c>
      <c r="R19" s="6">
        <v>7.77</v>
      </c>
      <c r="S19" s="1">
        <v>5.91</v>
      </c>
      <c r="T19" s="1" t="s">
        <v>50</v>
      </c>
      <c r="U19" s="1">
        <v>2011</v>
      </c>
    </row>
    <row r="20" spans="1:21" x14ac:dyDescent="0.35">
      <c r="A20" s="1" t="s">
        <v>98</v>
      </c>
      <c r="B20" s="2">
        <v>40546</v>
      </c>
      <c r="C20" s="2">
        <v>40550</v>
      </c>
      <c r="D20" s="1" t="s">
        <v>43</v>
      </c>
      <c r="E20" s="1" t="s">
        <v>99</v>
      </c>
      <c r="F20" s="1" t="s">
        <v>24</v>
      </c>
      <c r="G20" s="1" t="s">
        <v>100</v>
      </c>
      <c r="H20" s="1" t="s">
        <v>101</v>
      </c>
      <c r="I20" s="1" t="s">
        <v>37</v>
      </c>
      <c r="J20" s="1" t="s">
        <v>102</v>
      </c>
      <c r="K20" s="1" t="s">
        <v>168</v>
      </c>
      <c r="L20" s="1" t="s">
        <v>29</v>
      </c>
      <c r="M20" s="1" t="s">
        <v>169</v>
      </c>
      <c r="N20" s="1" t="s">
        <v>170</v>
      </c>
      <c r="O20" s="6">
        <v>6</v>
      </c>
      <c r="P20" s="1">
        <v>1</v>
      </c>
      <c r="Q20" s="4">
        <v>0.45</v>
      </c>
      <c r="R20" s="6">
        <v>0.54600000000000004</v>
      </c>
      <c r="S20" s="1">
        <v>0.8</v>
      </c>
      <c r="T20" s="1" t="s">
        <v>50</v>
      </c>
      <c r="U20" s="1">
        <v>2011</v>
      </c>
    </row>
    <row r="21" spans="1:21" x14ac:dyDescent="0.35">
      <c r="A21" s="1" t="s">
        <v>173</v>
      </c>
      <c r="B21" s="2">
        <v>40547</v>
      </c>
      <c r="C21" s="2">
        <v>40552</v>
      </c>
      <c r="D21" s="1" t="s">
        <v>43</v>
      </c>
      <c r="E21" s="1" t="s">
        <v>174</v>
      </c>
      <c r="F21" s="1" t="s">
        <v>24</v>
      </c>
      <c r="G21" s="1" t="s">
        <v>175</v>
      </c>
      <c r="H21" s="1" t="s">
        <v>176</v>
      </c>
      <c r="I21" s="1" t="s">
        <v>126</v>
      </c>
      <c r="J21" s="1" t="s">
        <v>177</v>
      </c>
      <c r="K21" s="1" t="s">
        <v>178</v>
      </c>
      <c r="L21" s="1" t="s">
        <v>62</v>
      </c>
      <c r="M21" s="1" t="s">
        <v>113</v>
      </c>
      <c r="N21" s="1" t="s">
        <v>179</v>
      </c>
      <c r="O21" s="6">
        <v>1648</v>
      </c>
      <c r="P21" s="1">
        <v>6</v>
      </c>
      <c r="Q21" s="4">
        <v>0</v>
      </c>
      <c r="R21" s="6">
        <v>609.84</v>
      </c>
      <c r="S21" s="1">
        <v>109.13</v>
      </c>
      <c r="T21" s="1" t="s">
        <v>32</v>
      </c>
      <c r="U21" s="1">
        <v>2011</v>
      </c>
    </row>
    <row r="22" spans="1:21" x14ac:dyDescent="0.35">
      <c r="A22" s="1" t="s">
        <v>173</v>
      </c>
      <c r="B22" s="2">
        <v>40547</v>
      </c>
      <c r="C22" s="2">
        <v>40552</v>
      </c>
      <c r="D22" s="1" t="s">
        <v>43</v>
      </c>
      <c r="E22" s="1" t="s">
        <v>174</v>
      </c>
      <c r="F22" s="1" t="s">
        <v>24</v>
      </c>
      <c r="G22" s="1" t="s">
        <v>175</v>
      </c>
      <c r="H22" s="1" t="s">
        <v>176</v>
      </c>
      <c r="I22" s="1" t="s">
        <v>126</v>
      </c>
      <c r="J22" s="1" t="s">
        <v>177</v>
      </c>
      <c r="K22" s="1" t="s">
        <v>199</v>
      </c>
      <c r="L22" s="1" t="s">
        <v>29</v>
      </c>
      <c r="M22" s="1" t="s">
        <v>40</v>
      </c>
      <c r="N22" s="1" t="s">
        <v>200</v>
      </c>
      <c r="O22" s="6">
        <v>149</v>
      </c>
      <c r="P22" s="1">
        <v>8</v>
      </c>
      <c r="Q22" s="4">
        <v>0</v>
      </c>
      <c r="R22" s="6">
        <v>28.16</v>
      </c>
      <c r="S22" s="1">
        <v>10.38</v>
      </c>
      <c r="T22" s="1" t="s">
        <v>32</v>
      </c>
      <c r="U22" s="1">
        <v>2011</v>
      </c>
    </row>
    <row r="23" spans="1:21" x14ac:dyDescent="0.35">
      <c r="A23" s="1" t="s">
        <v>270</v>
      </c>
      <c r="B23" s="2">
        <v>40549</v>
      </c>
      <c r="C23" s="2">
        <v>40552</v>
      </c>
      <c r="D23" s="1" t="s">
        <v>43</v>
      </c>
      <c r="E23" s="1" t="s">
        <v>271</v>
      </c>
      <c r="F23" s="1" t="s">
        <v>24</v>
      </c>
      <c r="G23" s="1" t="s">
        <v>272</v>
      </c>
      <c r="H23" s="1" t="s">
        <v>196</v>
      </c>
      <c r="I23" s="1" t="s">
        <v>56</v>
      </c>
      <c r="J23" s="1" t="s">
        <v>127</v>
      </c>
      <c r="K23" s="1" t="s">
        <v>273</v>
      </c>
      <c r="L23" s="1" t="s">
        <v>62</v>
      </c>
      <c r="M23" s="1" t="s">
        <v>63</v>
      </c>
      <c r="N23" s="1" t="s">
        <v>274</v>
      </c>
      <c r="O23" s="6">
        <v>324</v>
      </c>
      <c r="P23" s="1">
        <v>3</v>
      </c>
      <c r="Q23" s="4">
        <v>0</v>
      </c>
      <c r="R23" s="6">
        <v>35.64</v>
      </c>
      <c r="S23" s="1">
        <v>39.979999999999997</v>
      </c>
      <c r="T23" s="1" t="s">
        <v>50</v>
      </c>
      <c r="U23" s="1">
        <v>2011</v>
      </c>
    </row>
    <row r="24" spans="1:21" x14ac:dyDescent="0.35">
      <c r="A24" s="1" t="s">
        <v>350</v>
      </c>
      <c r="B24" s="2">
        <v>40550</v>
      </c>
      <c r="C24" s="2">
        <v>40552</v>
      </c>
      <c r="D24" s="1" t="s">
        <v>43</v>
      </c>
      <c r="E24" s="1" t="s">
        <v>351</v>
      </c>
      <c r="F24" s="1" t="s">
        <v>24</v>
      </c>
      <c r="G24" s="1" t="s">
        <v>352</v>
      </c>
      <c r="H24" s="1" t="s">
        <v>221</v>
      </c>
      <c r="I24" s="1" t="s">
        <v>222</v>
      </c>
      <c r="J24" s="1" t="s">
        <v>353</v>
      </c>
      <c r="K24" s="1" t="s">
        <v>354</v>
      </c>
      <c r="L24" s="1" t="s">
        <v>29</v>
      </c>
      <c r="M24" s="1" t="s">
        <v>59</v>
      </c>
      <c r="N24" s="1" t="s">
        <v>355</v>
      </c>
      <c r="O24" s="6">
        <v>19</v>
      </c>
      <c r="P24" s="1">
        <v>3</v>
      </c>
      <c r="Q24" s="4">
        <v>0</v>
      </c>
      <c r="R24" s="6">
        <v>9.3312000000000008</v>
      </c>
      <c r="S24" s="1">
        <v>4.37</v>
      </c>
      <c r="T24" s="1" t="s">
        <v>50</v>
      </c>
      <c r="U24" s="1">
        <v>2011</v>
      </c>
    </row>
    <row r="25" spans="1:21" x14ac:dyDescent="0.35">
      <c r="A25" s="1" t="s">
        <v>398</v>
      </c>
      <c r="B25" s="2">
        <v>40551</v>
      </c>
      <c r="C25" s="2">
        <v>40555</v>
      </c>
      <c r="D25" s="1" t="s">
        <v>43</v>
      </c>
      <c r="E25" s="1" t="s">
        <v>399</v>
      </c>
      <c r="F25" s="1" t="s">
        <v>53</v>
      </c>
      <c r="G25" s="1" t="s">
        <v>400</v>
      </c>
      <c r="H25" s="1" t="s">
        <v>300</v>
      </c>
      <c r="I25" s="1" t="s">
        <v>37</v>
      </c>
      <c r="J25" s="1" t="s">
        <v>229</v>
      </c>
      <c r="K25" s="1" t="s">
        <v>401</v>
      </c>
      <c r="L25" s="1" t="s">
        <v>72</v>
      </c>
      <c r="M25" s="1" t="s">
        <v>73</v>
      </c>
      <c r="N25" s="1" t="s">
        <v>402</v>
      </c>
      <c r="O25" s="6">
        <v>2174</v>
      </c>
      <c r="P25" s="1">
        <v>7</v>
      </c>
      <c r="Q25" s="4">
        <v>0</v>
      </c>
      <c r="R25" s="6">
        <v>260.82</v>
      </c>
      <c r="S25" s="1">
        <v>275.52</v>
      </c>
      <c r="T25" s="1" t="s">
        <v>32</v>
      </c>
      <c r="U25" s="1">
        <v>2011</v>
      </c>
    </row>
    <row r="26" spans="1:21" x14ac:dyDescent="0.35">
      <c r="A26" s="1" t="s">
        <v>407</v>
      </c>
      <c r="B26" s="2">
        <v>40551</v>
      </c>
      <c r="C26" s="2">
        <v>40556</v>
      </c>
      <c r="D26" s="1" t="s">
        <v>43</v>
      </c>
      <c r="E26" s="1" t="s">
        <v>408</v>
      </c>
      <c r="F26" s="1" t="s">
        <v>24</v>
      </c>
      <c r="G26" s="1" t="s">
        <v>125</v>
      </c>
      <c r="H26" s="1" t="s">
        <v>125</v>
      </c>
      <c r="I26" s="1" t="s">
        <v>126</v>
      </c>
      <c r="J26" s="1" t="s">
        <v>127</v>
      </c>
      <c r="K26" s="1" t="s">
        <v>409</v>
      </c>
      <c r="L26" s="1" t="s">
        <v>29</v>
      </c>
      <c r="M26" s="1" t="s">
        <v>30</v>
      </c>
      <c r="N26" s="1" t="s">
        <v>410</v>
      </c>
      <c r="O26" s="6">
        <v>397</v>
      </c>
      <c r="P26" s="1">
        <v>3</v>
      </c>
      <c r="Q26" s="4">
        <v>0</v>
      </c>
      <c r="R26" s="6">
        <v>182.52</v>
      </c>
      <c r="S26" s="1">
        <v>33.67</v>
      </c>
      <c r="T26" s="1" t="s">
        <v>32</v>
      </c>
      <c r="U26" s="1">
        <v>2011</v>
      </c>
    </row>
    <row r="27" spans="1:21" x14ac:dyDescent="0.35">
      <c r="A27" s="1" t="s">
        <v>407</v>
      </c>
      <c r="B27" s="2">
        <v>40551</v>
      </c>
      <c r="C27" s="2">
        <v>40556</v>
      </c>
      <c r="D27" s="1" t="s">
        <v>43</v>
      </c>
      <c r="E27" s="1" t="s">
        <v>408</v>
      </c>
      <c r="F27" s="1" t="s">
        <v>24</v>
      </c>
      <c r="G27" s="1" t="s">
        <v>125</v>
      </c>
      <c r="H27" s="1" t="s">
        <v>125</v>
      </c>
      <c r="I27" s="1" t="s">
        <v>126</v>
      </c>
      <c r="J27" s="1" t="s">
        <v>127</v>
      </c>
      <c r="K27" s="1" t="s">
        <v>415</v>
      </c>
      <c r="L27" s="1" t="s">
        <v>29</v>
      </c>
      <c r="M27" s="1" t="s">
        <v>241</v>
      </c>
      <c r="N27" s="1" t="s">
        <v>416</v>
      </c>
      <c r="O27" s="6">
        <v>50</v>
      </c>
      <c r="P27" s="1">
        <v>7</v>
      </c>
      <c r="Q27" s="4">
        <v>0</v>
      </c>
      <c r="R27" s="6">
        <v>20.3</v>
      </c>
      <c r="S27" s="1">
        <v>5.66</v>
      </c>
      <c r="T27" s="1" t="s">
        <v>32</v>
      </c>
      <c r="U27" s="1">
        <v>2011</v>
      </c>
    </row>
    <row r="28" spans="1:21" x14ac:dyDescent="0.35">
      <c r="A28" s="1" t="s">
        <v>419</v>
      </c>
      <c r="B28" s="2">
        <v>40551</v>
      </c>
      <c r="C28" s="2">
        <v>40554</v>
      </c>
      <c r="D28" s="1" t="s">
        <v>43</v>
      </c>
      <c r="E28" s="1" t="s">
        <v>420</v>
      </c>
      <c r="F28" s="1" t="s">
        <v>24</v>
      </c>
      <c r="G28" s="1" t="s">
        <v>421</v>
      </c>
      <c r="H28" s="1" t="s">
        <v>422</v>
      </c>
      <c r="I28" s="1" t="s">
        <v>27</v>
      </c>
      <c r="J28" s="1" t="s">
        <v>27</v>
      </c>
      <c r="K28" s="1" t="s">
        <v>423</v>
      </c>
      <c r="L28" s="1" t="s">
        <v>29</v>
      </c>
      <c r="M28" s="1" t="s">
        <v>241</v>
      </c>
      <c r="N28" s="1" t="s">
        <v>424</v>
      </c>
      <c r="O28" s="6">
        <v>5</v>
      </c>
      <c r="P28" s="1">
        <v>2</v>
      </c>
      <c r="Q28" s="4">
        <v>0.7</v>
      </c>
      <c r="R28" s="6">
        <v>-4.5419999999999998</v>
      </c>
      <c r="S28" s="1">
        <v>0.82</v>
      </c>
      <c r="T28" s="1" t="s">
        <v>50</v>
      </c>
      <c r="U28" s="1">
        <v>2011</v>
      </c>
    </row>
    <row r="29" spans="1:21" x14ac:dyDescent="0.35">
      <c r="A29" s="1" t="s">
        <v>21</v>
      </c>
      <c r="B29" s="2">
        <v>40544</v>
      </c>
      <c r="C29" s="2">
        <v>40549</v>
      </c>
      <c r="D29" s="1" t="s">
        <v>22</v>
      </c>
      <c r="E29" s="1" t="s">
        <v>23</v>
      </c>
      <c r="F29" s="1" t="s">
        <v>24</v>
      </c>
      <c r="G29" s="1" t="s">
        <v>25</v>
      </c>
      <c r="H29" s="1" t="s">
        <v>26</v>
      </c>
      <c r="I29" s="1" t="s">
        <v>27</v>
      </c>
      <c r="J29" s="1" t="s">
        <v>27</v>
      </c>
      <c r="K29" s="1" t="s">
        <v>28</v>
      </c>
      <c r="L29" s="1" t="s">
        <v>29</v>
      </c>
      <c r="M29" s="1" t="s">
        <v>30</v>
      </c>
      <c r="N29" s="1" t="s">
        <v>31</v>
      </c>
      <c r="O29" s="6">
        <v>408</v>
      </c>
      <c r="P29" s="1">
        <v>2</v>
      </c>
      <c r="Q29" s="4">
        <v>0</v>
      </c>
      <c r="R29" s="6">
        <v>106.14</v>
      </c>
      <c r="S29" s="1">
        <v>35.46</v>
      </c>
      <c r="T29" s="1" t="s">
        <v>32</v>
      </c>
      <c r="U29" s="1">
        <v>2011</v>
      </c>
    </row>
    <row r="30" spans="1:21" x14ac:dyDescent="0.35">
      <c r="A30" s="1" t="s">
        <v>33</v>
      </c>
      <c r="B30" s="2">
        <v>40544</v>
      </c>
      <c r="C30" s="2">
        <v>40551</v>
      </c>
      <c r="D30" s="1" t="s">
        <v>22</v>
      </c>
      <c r="E30" s="1" t="s">
        <v>34</v>
      </c>
      <c r="F30" s="1" t="s">
        <v>24</v>
      </c>
      <c r="G30" s="1" t="s">
        <v>35</v>
      </c>
      <c r="H30" s="1" t="s">
        <v>36</v>
      </c>
      <c r="I30" s="1" t="s">
        <v>37</v>
      </c>
      <c r="J30" s="1" t="s">
        <v>38</v>
      </c>
      <c r="K30" s="1" t="s">
        <v>39</v>
      </c>
      <c r="L30" s="1" t="s">
        <v>29</v>
      </c>
      <c r="M30" s="1" t="s">
        <v>40</v>
      </c>
      <c r="N30" s="1" t="s">
        <v>41</v>
      </c>
      <c r="O30" s="6">
        <v>120</v>
      </c>
      <c r="P30" s="1">
        <v>3</v>
      </c>
      <c r="Q30" s="4">
        <v>0.1</v>
      </c>
      <c r="R30" s="6">
        <v>36.036000000000001</v>
      </c>
      <c r="S30" s="1">
        <v>9.7200000000000006</v>
      </c>
      <c r="T30" s="1" t="s">
        <v>32</v>
      </c>
      <c r="U30" s="1">
        <v>2011</v>
      </c>
    </row>
    <row r="31" spans="1:21" x14ac:dyDescent="0.35">
      <c r="A31" s="1" t="s">
        <v>33</v>
      </c>
      <c r="B31" s="2">
        <v>40544</v>
      </c>
      <c r="C31" s="2">
        <v>40551</v>
      </c>
      <c r="D31" s="1" t="s">
        <v>22</v>
      </c>
      <c r="E31" s="1" t="s">
        <v>34</v>
      </c>
      <c r="F31" s="1" t="s">
        <v>24</v>
      </c>
      <c r="G31" s="1" t="s">
        <v>35</v>
      </c>
      <c r="H31" s="1" t="s">
        <v>36</v>
      </c>
      <c r="I31" s="1" t="s">
        <v>37</v>
      </c>
      <c r="J31" s="1" t="s">
        <v>38</v>
      </c>
      <c r="K31" s="1" t="s">
        <v>61</v>
      </c>
      <c r="L31" s="1" t="s">
        <v>62</v>
      </c>
      <c r="M31" s="1" t="s">
        <v>63</v>
      </c>
      <c r="N31" s="1" t="s">
        <v>64</v>
      </c>
      <c r="O31" s="6">
        <v>114</v>
      </c>
      <c r="P31" s="1">
        <v>5</v>
      </c>
      <c r="Q31" s="4">
        <v>0.1</v>
      </c>
      <c r="R31" s="6">
        <v>37.770000000000003</v>
      </c>
      <c r="S31" s="1">
        <v>4.7</v>
      </c>
      <c r="T31" s="1" t="s">
        <v>32</v>
      </c>
      <c r="U31" s="1">
        <v>2011</v>
      </c>
    </row>
    <row r="32" spans="1:21" x14ac:dyDescent="0.35">
      <c r="A32" s="1" t="s">
        <v>33</v>
      </c>
      <c r="B32" s="2">
        <v>40544</v>
      </c>
      <c r="C32" s="2">
        <v>40551</v>
      </c>
      <c r="D32" s="1" t="s">
        <v>22</v>
      </c>
      <c r="E32" s="1" t="s">
        <v>34</v>
      </c>
      <c r="F32" s="1" t="s">
        <v>24</v>
      </c>
      <c r="G32" s="1" t="s">
        <v>35</v>
      </c>
      <c r="H32" s="1" t="s">
        <v>36</v>
      </c>
      <c r="I32" s="1" t="s">
        <v>37</v>
      </c>
      <c r="J32" s="1" t="s">
        <v>38</v>
      </c>
      <c r="K32" s="1" t="s">
        <v>65</v>
      </c>
      <c r="L32" s="1" t="s">
        <v>29</v>
      </c>
      <c r="M32" s="1" t="s">
        <v>59</v>
      </c>
      <c r="N32" s="1" t="s">
        <v>66</v>
      </c>
      <c r="O32" s="6">
        <v>55</v>
      </c>
      <c r="P32" s="1">
        <v>2</v>
      </c>
      <c r="Q32" s="4">
        <v>0.1</v>
      </c>
      <c r="R32" s="6">
        <v>15.342000000000001</v>
      </c>
      <c r="S32" s="1">
        <v>1.8</v>
      </c>
      <c r="T32" s="1" t="s">
        <v>32</v>
      </c>
      <c r="U32" s="1">
        <v>2011</v>
      </c>
    </row>
    <row r="33" spans="1:21" x14ac:dyDescent="0.35">
      <c r="A33" s="1" t="s">
        <v>67</v>
      </c>
      <c r="B33" s="2">
        <v>40545</v>
      </c>
      <c r="C33" s="2">
        <v>40549</v>
      </c>
      <c r="D33" s="1" t="s">
        <v>22</v>
      </c>
      <c r="E33" s="1" t="s">
        <v>68</v>
      </c>
      <c r="F33" s="1" t="s">
        <v>24</v>
      </c>
      <c r="G33" s="1" t="s">
        <v>69</v>
      </c>
      <c r="H33" s="1" t="s">
        <v>70</v>
      </c>
      <c r="I33" s="1" t="s">
        <v>70</v>
      </c>
      <c r="J33" s="1" t="s">
        <v>70</v>
      </c>
      <c r="K33" s="1" t="s">
        <v>71</v>
      </c>
      <c r="L33" s="1" t="s">
        <v>72</v>
      </c>
      <c r="M33" s="1" t="s">
        <v>73</v>
      </c>
      <c r="N33" s="1" t="s">
        <v>74</v>
      </c>
      <c r="O33" s="6">
        <v>314</v>
      </c>
      <c r="P33" s="1">
        <v>1</v>
      </c>
      <c r="Q33" s="4">
        <v>0</v>
      </c>
      <c r="R33" s="6">
        <v>3.12</v>
      </c>
      <c r="S33" s="1">
        <v>24.1</v>
      </c>
      <c r="T33" s="1" t="s">
        <v>32</v>
      </c>
      <c r="U33" s="1">
        <v>2011</v>
      </c>
    </row>
    <row r="34" spans="1:21" x14ac:dyDescent="0.35">
      <c r="A34" s="1" t="s">
        <v>83</v>
      </c>
      <c r="B34" s="2">
        <v>40546</v>
      </c>
      <c r="C34" s="2">
        <v>40552</v>
      </c>
      <c r="D34" s="1" t="s">
        <v>22</v>
      </c>
      <c r="E34" s="1" t="s">
        <v>84</v>
      </c>
      <c r="F34" s="1" t="s">
        <v>24</v>
      </c>
      <c r="G34" s="1" t="s">
        <v>85</v>
      </c>
      <c r="H34" s="1" t="s">
        <v>86</v>
      </c>
      <c r="I34" s="1" t="s">
        <v>37</v>
      </c>
      <c r="J34" s="1" t="s">
        <v>38</v>
      </c>
      <c r="K34" s="1" t="s">
        <v>87</v>
      </c>
      <c r="L34" s="1" t="s">
        <v>72</v>
      </c>
      <c r="M34" s="1" t="s">
        <v>88</v>
      </c>
      <c r="N34" s="1" t="s">
        <v>89</v>
      </c>
      <c r="O34" s="6">
        <v>912</v>
      </c>
      <c r="P34" s="1">
        <v>4</v>
      </c>
      <c r="Q34" s="4">
        <v>0.4</v>
      </c>
      <c r="R34" s="6">
        <v>-319.464</v>
      </c>
      <c r="S34" s="1">
        <v>107.1</v>
      </c>
      <c r="T34" s="1" t="s">
        <v>90</v>
      </c>
      <c r="U34" s="1">
        <v>2011</v>
      </c>
    </row>
    <row r="35" spans="1:21" x14ac:dyDescent="0.35">
      <c r="A35" s="1" t="s">
        <v>91</v>
      </c>
      <c r="B35" s="2">
        <v>40546</v>
      </c>
      <c r="C35" s="2">
        <v>40550</v>
      </c>
      <c r="D35" s="1" t="s">
        <v>22</v>
      </c>
      <c r="E35" s="1" t="s">
        <v>92</v>
      </c>
      <c r="F35" s="1" t="s">
        <v>78</v>
      </c>
      <c r="G35" s="1" t="s">
        <v>93</v>
      </c>
      <c r="H35" s="1" t="s">
        <v>94</v>
      </c>
      <c r="I35" s="1" t="s">
        <v>47</v>
      </c>
      <c r="J35" s="1" t="s">
        <v>47</v>
      </c>
      <c r="K35" s="1" t="s">
        <v>95</v>
      </c>
      <c r="L35" s="1" t="s">
        <v>62</v>
      </c>
      <c r="M35" s="1" t="s">
        <v>96</v>
      </c>
      <c r="N35" s="1" t="s">
        <v>97</v>
      </c>
      <c r="O35" s="6">
        <v>667</v>
      </c>
      <c r="P35" s="1">
        <v>4</v>
      </c>
      <c r="Q35" s="4">
        <v>0</v>
      </c>
      <c r="R35" s="6">
        <v>253.32</v>
      </c>
      <c r="S35" s="1">
        <v>81.260000000000005</v>
      </c>
      <c r="T35" s="1" t="s">
        <v>50</v>
      </c>
      <c r="U35" s="1">
        <v>2011</v>
      </c>
    </row>
    <row r="36" spans="1:21" x14ac:dyDescent="0.35">
      <c r="A36" s="1" t="s">
        <v>108</v>
      </c>
      <c r="B36" s="2">
        <v>40546</v>
      </c>
      <c r="C36" s="2">
        <v>40550</v>
      </c>
      <c r="D36" s="1" t="s">
        <v>22</v>
      </c>
      <c r="E36" s="1" t="s">
        <v>109</v>
      </c>
      <c r="F36" s="1" t="s">
        <v>24</v>
      </c>
      <c r="G36" s="1" t="s">
        <v>110</v>
      </c>
      <c r="H36" s="1" t="s">
        <v>111</v>
      </c>
      <c r="I36" s="1" t="s">
        <v>56</v>
      </c>
      <c r="J36" s="1" t="s">
        <v>57</v>
      </c>
      <c r="K36" s="1" t="s">
        <v>112</v>
      </c>
      <c r="L36" s="1" t="s">
        <v>62</v>
      </c>
      <c r="M36" s="1" t="s">
        <v>113</v>
      </c>
      <c r="N36" s="1" t="s">
        <v>114</v>
      </c>
      <c r="O36" s="6">
        <v>854</v>
      </c>
      <c r="P36" s="1">
        <v>7</v>
      </c>
      <c r="Q36" s="4">
        <v>0</v>
      </c>
      <c r="R36" s="6">
        <v>290.43</v>
      </c>
      <c r="S36" s="1">
        <v>12.56</v>
      </c>
      <c r="T36" s="1" t="s">
        <v>32</v>
      </c>
      <c r="U36" s="1">
        <v>2011</v>
      </c>
    </row>
    <row r="37" spans="1:21" x14ac:dyDescent="0.35">
      <c r="A37" s="1" t="s">
        <v>115</v>
      </c>
      <c r="B37" s="2">
        <v>40546</v>
      </c>
      <c r="C37" s="2">
        <v>40552</v>
      </c>
      <c r="D37" s="1" t="s">
        <v>22</v>
      </c>
      <c r="E37" s="1" t="s">
        <v>116</v>
      </c>
      <c r="F37" s="1" t="s">
        <v>53</v>
      </c>
      <c r="G37" s="1" t="s">
        <v>117</v>
      </c>
      <c r="H37" s="1" t="s">
        <v>118</v>
      </c>
      <c r="I37" s="1" t="s">
        <v>37</v>
      </c>
      <c r="J37" s="1" t="s">
        <v>102</v>
      </c>
      <c r="K37" s="1" t="s">
        <v>119</v>
      </c>
      <c r="L37" s="1" t="s">
        <v>72</v>
      </c>
      <c r="M37" s="1" t="s">
        <v>88</v>
      </c>
      <c r="N37" s="1" t="s">
        <v>120</v>
      </c>
      <c r="O37" s="6">
        <v>193</v>
      </c>
      <c r="P37" s="1">
        <v>1</v>
      </c>
      <c r="Q37" s="4">
        <v>0</v>
      </c>
      <c r="R37" s="6">
        <v>50.13</v>
      </c>
      <c r="S37" s="1">
        <v>10.4</v>
      </c>
      <c r="T37" s="1" t="s">
        <v>32</v>
      </c>
      <c r="U37" s="1">
        <v>2011</v>
      </c>
    </row>
    <row r="38" spans="1:21" x14ac:dyDescent="0.35">
      <c r="A38" s="1" t="s">
        <v>83</v>
      </c>
      <c r="B38" s="2">
        <v>40546</v>
      </c>
      <c r="C38" s="2">
        <v>40552</v>
      </c>
      <c r="D38" s="1" t="s">
        <v>22</v>
      </c>
      <c r="E38" s="1" t="s">
        <v>84</v>
      </c>
      <c r="F38" s="1" t="s">
        <v>24</v>
      </c>
      <c r="G38" s="1" t="s">
        <v>85</v>
      </c>
      <c r="H38" s="1" t="s">
        <v>86</v>
      </c>
      <c r="I38" s="1" t="s">
        <v>37</v>
      </c>
      <c r="J38" s="1" t="s">
        <v>38</v>
      </c>
      <c r="K38" s="1" t="s">
        <v>121</v>
      </c>
      <c r="L38" s="1" t="s">
        <v>62</v>
      </c>
      <c r="M38" s="1" t="s">
        <v>96</v>
      </c>
      <c r="N38" s="1" t="s">
        <v>122</v>
      </c>
      <c r="O38" s="6">
        <v>159</v>
      </c>
      <c r="P38" s="1">
        <v>2</v>
      </c>
      <c r="Q38" s="4">
        <v>0.4</v>
      </c>
      <c r="R38" s="6">
        <v>-95.676000000000002</v>
      </c>
      <c r="S38" s="1">
        <v>10.07</v>
      </c>
      <c r="T38" s="1" t="s">
        <v>90</v>
      </c>
      <c r="U38" s="1">
        <v>2011</v>
      </c>
    </row>
    <row r="39" spans="1:21" x14ac:dyDescent="0.35">
      <c r="A39" s="1" t="s">
        <v>123</v>
      </c>
      <c r="B39" s="2">
        <v>40546</v>
      </c>
      <c r="C39" s="2">
        <v>40550</v>
      </c>
      <c r="D39" s="1" t="s">
        <v>22</v>
      </c>
      <c r="E39" s="1" t="s">
        <v>124</v>
      </c>
      <c r="F39" s="1" t="s">
        <v>24</v>
      </c>
      <c r="G39" s="1" t="s">
        <v>125</v>
      </c>
      <c r="H39" s="1" t="s">
        <v>125</v>
      </c>
      <c r="I39" s="1" t="s">
        <v>126</v>
      </c>
      <c r="J39" s="1" t="s">
        <v>127</v>
      </c>
      <c r="K39" s="1" t="s">
        <v>128</v>
      </c>
      <c r="L39" s="1" t="s">
        <v>72</v>
      </c>
      <c r="M39" s="1" t="s">
        <v>129</v>
      </c>
      <c r="N39" s="1" t="s">
        <v>130</v>
      </c>
      <c r="O39" s="6">
        <v>195</v>
      </c>
      <c r="P39" s="1">
        <v>4</v>
      </c>
      <c r="Q39" s="4">
        <v>0</v>
      </c>
      <c r="R39" s="6">
        <v>44.88</v>
      </c>
      <c r="S39" s="1">
        <v>8.43</v>
      </c>
      <c r="T39" s="1" t="s">
        <v>32</v>
      </c>
      <c r="U39" s="1">
        <v>2011</v>
      </c>
    </row>
    <row r="40" spans="1:21" x14ac:dyDescent="0.35">
      <c r="A40" s="1" t="s">
        <v>131</v>
      </c>
      <c r="B40" s="2">
        <v>40546</v>
      </c>
      <c r="C40" s="2">
        <v>40550</v>
      </c>
      <c r="D40" s="1" t="s">
        <v>22</v>
      </c>
      <c r="E40" s="1" t="s">
        <v>132</v>
      </c>
      <c r="F40" s="1" t="s">
        <v>24</v>
      </c>
      <c r="G40" s="1" t="s">
        <v>133</v>
      </c>
      <c r="H40" s="1" t="s">
        <v>134</v>
      </c>
      <c r="I40" s="1" t="s">
        <v>47</v>
      </c>
      <c r="J40" s="1" t="s">
        <v>47</v>
      </c>
      <c r="K40" s="1" t="s">
        <v>135</v>
      </c>
      <c r="L40" s="1" t="s">
        <v>29</v>
      </c>
      <c r="M40" s="1" t="s">
        <v>80</v>
      </c>
      <c r="N40" s="1" t="s">
        <v>136</v>
      </c>
      <c r="O40" s="6">
        <v>123</v>
      </c>
      <c r="P40" s="1">
        <v>2</v>
      </c>
      <c r="Q40" s="4">
        <v>0</v>
      </c>
      <c r="R40" s="6">
        <v>42.9</v>
      </c>
      <c r="S40" s="1">
        <v>8.41</v>
      </c>
      <c r="T40" s="1" t="s">
        <v>32</v>
      </c>
      <c r="U40" s="1">
        <v>2011</v>
      </c>
    </row>
    <row r="41" spans="1:21" x14ac:dyDescent="0.35">
      <c r="A41" s="1" t="s">
        <v>83</v>
      </c>
      <c r="B41" s="2">
        <v>40546</v>
      </c>
      <c r="C41" s="2">
        <v>40552</v>
      </c>
      <c r="D41" s="1" t="s">
        <v>22</v>
      </c>
      <c r="E41" s="1" t="s">
        <v>84</v>
      </c>
      <c r="F41" s="1" t="s">
        <v>24</v>
      </c>
      <c r="G41" s="1" t="s">
        <v>85</v>
      </c>
      <c r="H41" s="1" t="s">
        <v>86</v>
      </c>
      <c r="I41" s="1" t="s">
        <v>37</v>
      </c>
      <c r="J41" s="1" t="s">
        <v>38</v>
      </c>
      <c r="K41" s="1" t="s">
        <v>137</v>
      </c>
      <c r="L41" s="1" t="s">
        <v>72</v>
      </c>
      <c r="M41" s="1" t="s">
        <v>138</v>
      </c>
      <c r="N41" s="1" t="s">
        <v>139</v>
      </c>
      <c r="O41" s="6">
        <v>69</v>
      </c>
      <c r="P41" s="1">
        <v>2</v>
      </c>
      <c r="Q41" s="4">
        <v>0.4</v>
      </c>
      <c r="R41" s="6">
        <v>3.42</v>
      </c>
      <c r="S41" s="1">
        <v>8.34</v>
      </c>
      <c r="T41" s="1" t="s">
        <v>90</v>
      </c>
      <c r="U41" s="1">
        <v>2011</v>
      </c>
    </row>
    <row r="42" spans="1:21" x14ac:dyDescent="0.35">
      <c r="A42" s="1" t="s">
        <v>83</v>
      </c>
      <c r="B42" s="2">
        <v>40546</v>
      </c>
      <c r="C42" s="2">
        <v>40552</v>
      </c>
      <c r="D42" s="1" t="s">
        <v>22</v>
      </c>
      <c r="E42" s="1" t="s">
        <v>84</v>
      </c>
      <c r="F42" s="1" t="s">
        <v>24</v>
      </c>
      <c r="G42" s="1" t="s">
        <v>85</v>
      </c>
      <c r="H42" s="1" t="s">
        <v>86</v>
      </c>
      <c r="I42" s="1" t="s">
        <v>37</v>
      </c>
      <c r="J42" s="1" t="s">
        <v>38</v>
      </c>
      <c r="K42" s="1" t="s">
        <v>140</v>
      </c>
      <c r="L42" s="1" t="s">
        <v>62</v>
      </c>
      <c r="M42" s="1" t="s">
        <v>96</v>
      </c>
      <c r="N42" s="1" t="s">
        <v>141</v>
      </c>
      <c r="O42" s="6">
        <v>69</v>
      </c>
      <c r="P42" s="1">
        <v>2</v>
      </c>
      <c r="Q42" s="4">
        <v>0.4</v>
      </c>
      <c r="R42" s="6">
        <v>-26.411999999999999</v>
      </c>
      <c r="S42" s="1">
        <v>8.17</v>
      </c>
      <c r="T42" s="1" t="s">
        <v>90</v>
      </c>
      <c r="U42" s="1">
        <v>2011</v>
      </c>
    </row>
    <row r="43" spans="1:21" x14ac:dyDescent="0.35">
      <c r="A43" s="1" t="s">
        <v>142</v>
      </c>
      <c r="B43" s="2">
        <v>40546</v>
      </c>
      <c r="C43" s="2">
        <v>40551</v>
      </c>
      <c r="D43" s="1" t="s">
        <v>22</v>
      </c>
      <c r="E43" s="1" t="s">
        <v>143</v>
      </c>
      <c r="F43" s="1" t="s">
        <v>24</v>
      </c>
      <c r="G43" s="1" t="s">
        <v>144</v>
      </c>
      <c r="H43" s="1" t="s">
        <v>145</v>
      </c>
      <c r="I43" s="1" t="s">
        <v>37</v>
      </c>
      <c r="J43" s="1" t="s">
        <v>102</v>
      </c>
      <c r="K43" s="1" t="s">
        <v>146</v>
      </c>
      <c r="L43" s="1" t="s">
        <v>29</v>
      </c>
      <c r="M43" s="1" t="s">
        <v>30</v>
      </c>
      <c r="N43" s="1" t="s">
        <v>147</v>
      </c>
      <c r="O43" s="6">
        <v>135</v>
      </c>
      <c r="P43" s="1">
        <v>2</v>
      </c>
      <c r="Q43" s="4">
        <v>0.47</v>
      </c>
      <c r="R43" s="6">
        <v>-45.901800000000001</v>
      </c>
      <c r="S43" s="1">
        <v>7.74</v>
      </c>
      <c r="T43" s="1" t="s">
        <v>32</v>
      </c>
      <c r="U43" s="1">
        <v>2011</v>
      </c>
    </row>
    <row r="44" spans="1:21" x14ac:dyDescent="0.35">
      <c r="A44" s="1" t="s">
        <v>131</v>
      </c>
      <c r="B44" s="2">
        <v>40546</v>
      </c>
      <c r="C44" s="2">
        <v>40550</v>
      </c>
      <c r="D44" s="1" t="s">
        <v>22</v>
      </c>
      <c r="E44" s="1" t="s">
        <v>132</v>
      </c>
      <c r="F44" s="1" t="s">
        <v>24</v>
      </c>
      <c r="G44" s="1" t="s">
        <v>133</v>
      </c>
      <c r="H44" s="1" t="s">
        <v>134</v>
      </c>
      <c r="I44" s="1" t="s">
        <v>47</v>
      </c>
      <c r="J44" s="1" t="s">
        <v>47</v>
      </c>
      <c r="K44" s="1" t="s">
        <v>157</v>
      </c>
      <c r="L44" s="1" t="s">
        <v>29</v>
      </c>
      <c r="M44" s="1" t="s">
        <v>30</v>
      </c>
      <c r="N44" s="1" t="s">
        <v>158</v>
      </c>
      <c r="O44" s="6">
        <v>62</v>
      </c>
      <c r="P44" s="1">
        <v>2</v>
      </c>
      <c r="Q44" s="4">
        <v>0</v>
      </c>
      <c r="R44" s="6">
        <v>8.6999999999999993</v>
      </c>
      <c r="S44" s="1">
        <v>5.16</v>
      </c>
      <c r="T44" s="1" t="s">
        <v>32</v>
      </c>
      <c r="U44" s="1">
        <v>2011</v>
      </c>
    </row>
    <row r="45" spans="1:21" x14ac:dyDescent="0.35">
      <c r="A45" s="1" t="s">
        <v>159</v>
      </c>
      <c r="B45" s="2">
        <v>40546</v>
      </c>
      <c r="C45" s="2">
        <v>40551</v>
      </c>
      <c r="D45" s="1" t="s">
        <v>22</v>
      </c>
      <c r="E45" s="1" t="s">
        <v>160</v>
      </c>
      <c r="F45" s="1" t="s">
        <v>24</v>
      </c>
      <c r="G45" s="1" t="s">
        <v>161</v>
      </c>
      <c r="H45" s="1" t="s">
        <v>162</v>
      </c>
      <c r="I45" s="1" t="s">
        <v>27</v>
      </c>
      <c r="J45" s="1" t="s">
        <v>27</v>
      </c>
      <c r="K45" s="1" t="s">
        <v>163</v>
      </c>
      <c r="L45" s="1" t="s">
        <v>29</v>
      </c>
      <c r="M45" s="1" t="s">
        <v>40</v>
      </c>
      <c r="N45" s="1" t="s">
        <v>164</v>
      </c>
      <c r="O45" s="6">
        <v>81</v>
      </c>
      <c r="P45" s="1">
        <v>4</v>
      </c>
      <c r="Q45" s="4">
        <v>0</v>
      </c>
      <c r="R45" s="6">
        <v>26.76</v>
      </c>
      <c r="S45" s="1">
        <v>5.1100000000000003</v>
      </c>
      <c r="T45" s="1" t="s">
        <v>32</v>
      </c>
      <c r="U45" s="1">
        <v>2011</v>
      </c>
    </row>
    <row r="46" spans="1:21" x14ac:dyDescent="0.35">
      <c r="A46" s="1" t="s">
        <v>91</v>
      </c>
      <c r="B46" s="2">
        <v>40546</v>
      </c>
      <c r="C46" s="2">
        <v>40550</v>
      </c>
      <c r="D46" s="1" t="s">
        <v>22</v>
      </c>
      <c r="E46" s="1" t="s">
        <v>92</v>
      </c>
      <c r="F46" s="1" t="s">
        <v>78</v>
      </c>
      <c r="G46" s="1" t="s">
        <v>93</v>
      </c>
      <c r="H46" s="1" t="s">
        <v>94</v>
      </c>
      <c r="I46" s="1" t="s">
        <v>47</v>
      </c>
      <c r="J46" s="1" t="s">
        <v>47</v>
      </c>
      <c r="K46" s="1" t="s">
        <v>165</v>
      </c>
      <c r="L46" s="1" t="s">
        <v>29</v>
      </c>
      <c r="M46" s="1" t="s">
        <v>166</v>
      </c>
      <c r="N46" s="1" t="s">
        <v>167</v>
      </c>
      <c r="O46" s="6">
        <v>47</v>
      </c>
      <c r="P46" s="1">
        <v>1</v>
      </c>
      <c r="Q46" s="4">
        <v>0</v>
      </c>
      <c r="R46" s="6">
        <v>17.07</v>
      </c>
      <c r="S46" s="1">
        <v>3.57</v>
      </c>
      <c r="T46" s="1" t="s">
        <v>50</v>
      </c>
      <c r="U46" s="1">
        <v>2011</v>
      </c>
    </row>
    <row r="47" spans="1:21" x14ac:dyDescent="0.35">
      <c r="A47" s="1" t="s">
        <v>131</v>
      </c>
      <c r="B47" s="2">
        <v>40546</v>
      </c>
      <c r="C47" s="2">
        <v>40550</v>
      </c>
      <c r="D47" s="1" t="s">
        <v>22</v>
      </c>
      <c r="E47" s="1" t="s">
        <v>132</v>
      </c>
      <c r="F47" s="1" t="s">
        <v>24</v>
      </c>
      <c r="G47" s="1" t="s">
        <v>133</v>
      </c>
      <c r="H47" s="1" t="s">
        <v>134</v>
      </c>
      <c r="I47" s="1" t="s">
        <v>47</v>
      </c>
      <c r="J47" s="1" t="s">
        <v>47</v>
      </c>
      <c r="K47" s="1" t="s">
        <v>171</v>
      </c>
      <c r="L47" s="1" t="s">
        <v>29</v>
      </c>
      <c r="M47" s="1" t="s">
        <v>169</v>
      </c>
      <c r="N47" s="1" t="s">
        <v>172</v>
      </c>
      <c r="O47" s="6">
        <v>17</v>
      </c>
      <c r="P47" s="1">
        <v>1</v>
      </c>
      <c r="Q47" s="4">
        <v>0</v>
      </c>
      <c r="R47" s="6">
        <v>4.17</v>
      </c>
      <c r="S47" s="1">
        <v>0.54</v>
      </c>
      <c r="T47" s="1" t="s">
        <v>32</v>
      </c>
      <c r="U47" s="1">
        <v>2011</v>
      </c>
    </row>
    <row r="48" spans="1:21" x14ac:dyDescent="0.35">
      <c r="A48" s="1" t="s">
        <v>180</v>
      </c>
      <c r="B48" s="2">
        <v>40547</v>
      </c>
      <c r="C48" s="2">
        <v>40552</v>
      </c>
      <c r="D48" s="1" t="s">
        <v>22</v>
      </c>
      <c r="E48" s="1" t="s">
        <v>181</v>
      </c>
      <c r="F48" s="1" t="s">
        <v>78</v>
      </c>
      <c r="G48" s="1" t="s">
        <v>182</v>
      </c>
      <c r="H48" s="1" t="s">
        <v>183</v>
      </c>
      <c r="I48" s="1" t="s">
        <v>126</v>
      </c>
      <c r="J48" s="1" t="s">
        <v>57</v>
      </c>
      <c r="K48" s="1" t="s">
        <v>184</v>
      </c>
      <c r="L48" s="1" t="s">
        <v>72</v>
      </c>
      <c r="M48" s="1" t="s">
        <v>138</v>
      </c>
      <c r="N48" s="1" t="s">
        <v>185</v>
      </c>
      <c r="O48" s="6">
        <v>223</v>
      </c>
      <c r="P48" s="1">
        <v>4</v>
      </c>
      <c r="Q48" s="4">
        <v>0</v>
      </c>
      <c r="R48" s="6">
        <v>13.28</v>
      </c>
      <c r="S48" s="1">
        <v>42.28</v>
      </c>
      <c r="T48" s="1" t="s">
        <v>50</v>
      </c>
      <c r="U48" s="1">
        <v>2011</v>
      </c>
    </row>
    <row r="49" spans="1:21" x14ac:dyDescent="0.35">
      <c r="A49" s="1" t="s">
        <v>186</v>
      </c>
      <c r="B49" s="2">
        <v>40547</v>
      </c>
      <c r="C49" s="2">
        <v>40554</v>
      </c>
      <c r="D49" s="1" t="s">
        <v>22</v>
      </c>
      <c r="E49" s="1" t="s">
        <v>187</v>
      </c>
      <c r="F49" s="1" t="s">
        <v>53</v>
      </c>
      <c r="G49" s="1" t="s">
        <v>188</v>
      </c>
      <c r="H49" s="1" t="s">
        <v>189</v>
      </c>
      <c r="I49" s="1" t="s">
        <v>126</v>
      </c>
      <c r="J49" s="1" t="s">
        <v>190</v>
      </c>
      <c r="K49" s="1" t="s">
        <v>191</v>
      </c>
      <c r="L49" s="1" t="s">
        <v>29</v>
      </c>
      <c r="M49" s="1" t="s">
        <v>166</v>
      </c>
      <c r="N49" s="1" t="s">
        <v>192</v>
      </c>
      <c r="O49" s="6">
        <v>186</v>
      </c>
      <c r="P49" s="1">
        <v>6</v>
      </c>
      <c r="Q49" s="4">
        <v>0</v>
      </c>
      <c r="R49" s="6">
        <v>3.6</v>
      </c>
      <c r="S49" s="1">
        <v>16.39</v>
      </c>
      <c r="T49" s="1" t="s">
        <v>32</v>
      </c>
      <c r="U49" s="1">
        <v>2011</v>
      </c>
    </row>
    <row r="50" spans="1:21" x14ac:dyDescent="0.35">
      <c r="A50" s="1" t="s">
        <v>193</v>
      </c>
      <c r="B50" s="2">
        <v>40547</v>
      </c>
      <c r="C50" s="2">
        <v>40551</v>
      </c>
      <c r="D50" s="1" t="s">
        <v>22</v>
      </c>
      <c r="E50" s="1" t="s">
        <v>194</v>
      </c>
      <c r="F50" s="1" t="s">
        <v>24</v>
      </c>
      <c r="G50" s="1" t="s">
        <v>195</v>
      </c>
      <c r="H50" s="1" t="s">
        <v>196</v>
      </c>
      <c r="I50" s="1" t="s">
        <v>56</v>
      </c>
      <c r="J50" s="1" t="s">
        <v>127</v>
      </c>
      <c r="K50" s="1" t="s">
        <v>197</v>
      </c>
      <c r="L50" s="1" t="s">
        <v>29</v>
      </c>
      <c r="M50" s="1" t="s">
        <v>155</v>
      </c>
      <c r="N50" s="1" t="s">
        <v>198</v>
      </c>
      <c r="O50" s="6">
        <v>140</v>
      </c>
      <c r="P50" s="1">
        <v>3</v>
      </c>
      <c r="Q50" s="4">
        <v>0</v>
      </c>
      <c r="R50" s="6">
        <v>20.88</v>
      </c>
      <c r="S50" s="1">
        <v>10.78</v>
      </c>
      <c r="T50" s="1" t="s">
        <v>32</v>
      </c>
      <c r="U50" s="1">
        <v>2011</v>
      </c>
    </row>
    <row r="51" spans="1:21" x14ac:dyDescent="0.35">
      <c r="A51" s="1" t="s">
        <v>180</v>
      </c>
      <c r="B51" s="2">
        <v>40547</v>
      </c>
      <c r="C51" s="2">
        <v>40552</v>
      </c>
      <c r="D51" s="1" t="s">
        <v>22</v>
      </c>
      <c r="E51" s="1" t="s">
        <v>181</v>
      </c>
      <c r="F51" s="1" t="s">
        <v>78</v>
      </c>
      <c r="G51" s="1" t="s">
        <v>182</v>
      </c>
      <c r="H51" s="1" t="s">
        <v>183</v>
      </c>
      <c r="I51" s="1" t="s">
        <v>126</v>
      </c>
      <c r="J51" s="1" t="s">
        <v>57</v>
      </c>
      <c r="K51" s="1" t="s">
        <v>201</v>
      </c>
      <c r="L51" s="1" t="s">
        <v>72</v>
      </c>
      <c r="M51" s="1" t="s">
        <v>88</v>
      </c>
      <c r="N51" s="1" t="s">
        <v>202</v>
      </c>
      <c r="O51" s="6">
        <v>166</v>
      </c>
      <c r="P51" s="1">
        <v>2</v>
      </c>
      <c r="Q51" s="4">
        <v>2E-3</v>
      </c>
      <c r="R51" s="6">
        <v>49.428240000000002</v>
      </c>
      <c r="S51" s="1">
        <v>9.5399999999999991</v>
      </c>
      <c r="T51" s="1" t="s">
        <v>50</v>
      </c>
      <c r="U51" s="1">
        <v>2011</v>
      </c>
    </row>
    <row r="52" spans="1:21" x14ac:dyDescent="0.35">
      <c r="A52" s="1" t="s">
        <v>203</v>
      </c>
      <c r="B52" s="2">
        <v>40547</v>
      </c>
      <c r="C52" s="2">
        <v>40554</v>
      </c>
      <c r="D52" s="1" t="s">
        <v>22</v>
      </c>
      <c r="E52" s="1" t="s">
        <v>187</v>
      </c>
      <c r="F52" s="1" t="s">
        <v>53</v>
      </c>
      <c r="G52" s="1" t="s">
        <v>204</v>
      </c>
      <c r="H52" s="1" t="s">
        <v>176</v>
      </c>
      <c r="I52" s="1" t="s">
        <v>126</v>
      </c>
      <c r="J52" s="1" t="s">
        <v>177</v>
      </c>
      <c r="K52" s="1" t="s">
        <v>205</v>
      </c>
      <c r="L52" s="1" t="s">
        <v>29</v>
      </c>
      <c r="M52" s="1" t="s">
        <v>166</v>
      </c>
      <c r="N52" s="1" t="s">
        <v>192</v>
      </c>
      <c r="O52" s="6">
        <v>74</v>
      </c>
      <c r="P52" s="1">
        <v>6</v>
      </c>
      <c r="Q52" s="4">
        <v>0.6</v>
      </c>
      <c r="R52" s="6">
        <v>-107.85599999999999</v>
      </c>
      <c r="S52" s="1">
        <v>7.04</v>
      </c>
      <c r="T52" s="1" t="s">
        <v>32</v>
      </c>
      <c r="U52" s="1">
        <v>2011</v>
      </c>
    </row>
    <row r="53" spans="1:21" x14ac:dyDescent="0.35">
      <c r="A53" s="1" t="s">
        <v>206</v>
      </c>
      <c r="B53" s="2">
        <v>40547</v>
      </c>
      <c r="C53" s="2">
        <v>40551</v>
      </c>
      <c r="D53" s="1" t="s">
        <v>22</v>
      </c>
      <c r="E53" s="1" t="s">
        <v>207</v>
      </c>
      <c r="F53" s="1" t="s">
        <v>53</v>
      </c>
      <c r="G53" s="1" t="s">
        <v>208</v>
      </c>
      <c r="H53" s="1" t="s">
        <v>189</v>
      </c>
      <c r="I53" s="1" t="s">
        <v>126</v>
      </c>
      <c r="J53" s="1" t="s">
        <v>190</v>
      </c>
      <c r="K53" s="1" t="s">
        <v>209</v>
      </c>
      <c r="L53" s="1" t="s">
        <v>62</v>
      </c>
      <c r="M53" s="1" t="s">
        <v>96</v>
      </c>
      <c r="N53" s="1" t="s">
        <v>141</v>
      </c>
      <c r="O53" s="6">
        <v>38</v>
      </c>
      <c r="P53" s="1">
        <v>1</v>
      </c>
      <c r="Q53" s="4">
        <v>0</v>
      </c>
      <c r="R53" s="6">
        <v>6.88</v>
      </c>
      <c r="S53" s="1">
        <v>4.25</v>
      </c>
      <c r="T53" s="1" t="s">
        <v>32</v>
      </c>
      <c r="U53" s="1">
        <v>2011</v>
      </c>
    </row>
    <row r="54" spans="1:21" x14ac:dyDescent="0.35">
      <c r="A54" s="1" t="s">
        <v>206</v>
      </c>
      <c r="B54" s="2">
        <v>40547</v>
      </c>
      <c r="C54" s="2">
        <v>40551</v>
      </c>
      <c r="D54" s="1" t="s">
        <v>22</v>
      </c>
      <c r="E54" s="1" t="s">
        <v>207</v>
      </c>
      <c r="F54" s="1" t="s">
        <v>53</v>
      </c>
      <c r="G54" s="1" t="s">
        <v>208</v>
      </c>
      <c r="H54" s="1" t="s">
        <v>189</v>
      </c>
      <c r="I54" s="1" t="s">
        <v>126</v>
      </c>
      <c r="J54" s="1" t="s">
        <v>190</v>
      </c>
      <c r="K54" s="1" t="s">
        <v>210</v>
      </c>
      <c r="L54" s="1" t="s">
        <v>72</v>
      </c>
      <c r="M54" s="1" t="s">
        <v>138</v>
      </c>
      <c r="N54" s="1" t="s">
        <v>211</v>
      </c>
      <c r="O54" s="6">
        <v>38</v>
      </c>
      <c r="P54" s="1">
        <v>2</v>
      </c>
      <c r="Q54" s="4">
        <v>0</v>
      </c>
      <c r="R54" s="6">
        <v>2.2400000000000002</v>
      </c>
      <c r="S54" s="1">
        <v>3.94</v>
      </c>
      <c r="T54" s="1" t="s">
        <v>32</v>
      </c>
      <c r="U54" s="1">
        <v>2011</v>
      </c>
    </row>
    <row r="55" spans="1:21" x14ac:dyDescent="0.35">
      <c r="A55" s="1" t="s">
        <v>206</v>
      </c>
      <c r="B55" s="2">
        <v>40547</v>
      </c>
      <c r="C55" s="2">
        <v>40551</v>
      </c>
      <c r="D55" s="1" t="s">
        <v>22</v>
      </c>
      <c r="E55" s="1" t="s">
        <v>207</v>
      </c>
      <c r="F55" s="1" t="s">
        <v>53</v>
      </c>
      <c r="G55" s="1" t="s">
        <v>208</v>
      </c>
      <c r="H55" s="1" t="s">
        <v>189</v>
      </c>
      <c r="I55" s="1" t="s">
        <v>126</v>
      </c>
      <c r="J55" s="1" t="s">
        <v>190</v>
      </c>
      <c r="K55" s="1" t="s">
        <v>212</v>
      </c>
      <c r="L55" s="1" t="s">
        <v>29</v>
      </c>
      <c r="M55" s="1" t="s">
        <v>166</v>
      </c>
      <c r="N55" s="1" t="s">
        <v>213</v>
      </c>
      <c r="O55" s="6">
        <v>39</v>
      </c>
      <c r="P55" s="1">
        <v>3</v>
      </c>
      <c r="Q55" s="4">
        <v>0</v>
      </c>
      <c r="R55" s="6">
        <v>7.68</v>
      </c>
      <c r="S55" s="1">
        <v>3.51</v>
      </c>
      <c r="T55" s="1" t="s">
        <v>32</v>
      </c>
      <c r="U55" s="1">
        <v>2011</v>
      </c>
    </row>
    <row r="56" spans="1:21" x14ac:dyDescent="0.35">
      <c r="A56" s="1" t="s">
        <v>214</v>
      </c>
      <c r="B56" s="2">
        <v>40547</v>
      </c>
      <c r="C56" s="2">
        <v>40552</v>
      </c>
      <c r="D56" s="1" t="s">
        <v>22</v>
      </c>
      <c r="E56" s="1" t="s">
        <v>215</v>
      </c>
      <c r="F56" s="1" t="s">
        <v>78</v>
      </c>
      <c r="G56" s="1" t="s">
        <v>110</v>
      </c>
      <c r="H56" s="1" t="s">
        <v>111</v>
      </c>
      <c r="I56" s="1" t="s">
        <v>56</v>
      </c>
      <c r="J56" s="1" t="s">
        <v>57</v>
      </c>
      <c r="K56" s="1" t="s">
        <v>216</v>
      </c>
      <c r="L56" s="1" t="s">
        <v>29</v>
      </c>
      <c r="M56" s="1" t="s">
        <v>155</v>
      </c>
      <c r="N56" s="1" t="s">
        <v>217</v>
      </c>
      <c r="O56" s="6">
        <v>27</v>
      </c>
      <c r="P56" s="1">
        <v>2</v>
      </c>
      <c r="Q56" s="4">
        <v>0.5</v>
      </c>
      <c r="R56" s="6">
        <v>-21.9</v>
      </c>
      <c r="S56" s="1">
        <v>2.11</v>
      </c>
      <c r="T56" s="1" t="s">
        <v>32</v>
      </c>
      <c r="U56" s="1">
        <v>2011</v>
      </c>
    </row>
    <row r="57" spans="1:21" x14ac:dyDescent="0.35">
      <c r="A57" s="1" t="s">
        <v>218</v>
      </c>
      <c r="B57" s="2">
        <v>40547</v>
      </c>
      <c r="C57" s="2">
        <v>40551</v>
      </c>
      <c r="D57" s="1" t="s">
        <v>22</v>
      </c>
      <c r="E57" s="1" t="s">
        <v>219</v>
      </c>
      <c r="F57" s="1" t="s">
        <v>24</v>
      </c>
      <c r="G57" s="1" t="s">
        <v>220</v>
      </c>
      <c r="H57" s="1" t="s">
        <v>221</v>
      </c>
      <c r="I57" s="1" t="s">
        <v>222</v>
      </c>
      <c r="J57" s="1" t="s">
        <v>127</v>
      </c>
      <c r="K57" s="1" t="s">
        <v>223</v>
      </c>
      <c r="L57" s="1" t="s">
        <v>29</v>
      </c>
      <c r="M57" s="1" t="s">
        <v>59</v>
      </c>
      <c r="N57" s="1" t="s">
        <v>224</v>
      </c>
      <c r="O57" s="6">
        <v>16</v>
      </c>
      <c r="P57" s="1">
        <v>2</v>
      </c>
      <c r="Q57" s="4">
        <v>0.2</v>
      </c>
      <c r="R57" s="6">
        <v>5.5511999999999997</v>
      </c>
      <c r="S57" s="1">
        <v>1.82</v>
      </c>
      <c r="T57" s="1" t="s">
        <v>50</v>
      </c>
      <c r="U57" s="1">
        <v>2011</v>
      </c>
    </row>
    <row r="58" spans="1:21" x14ac:dyDescent="0.35">
      <c r="A58" s="1" t="s">
        <v>225</v>
      </c>
      <c r="B58" s="2">
        <v>40547</v>
      </c>
      <c r="C58" s="2">
        <v>40551</v>
      </c>
      <c r="D58" s="1" t="s">
        <v>22</v>
      </c>
      <c r="E58" s="1" t="s">
        <v>226</v>
      </c>
      <c r="F58" s="1" t="s">
        <v>24</v>
      </c>
      <c r="G58" s="1" t="s">
        <v>227</v>
      </c>
      <c r="H58" s="1" t="s">
        <v>228</v>
      </c>
      <c r="I58" s="1" t="s">
        <v>37</v>
      </c>
      <c r="J58" s="1" t="s">
        <v>229</v>
      </c>
      <c r="K58" s="1" t="s">
        <v>230</v>
      </c>
      <c r="L58" s="1" t="s">
        <v>29</v>
      </c>
      <c r="M58" s="1" t="s">
        <v>149</v>
      </c>
      <c r="N58" s="1" t="s">
        <v>231</v>
      </c>
      <c r="O58" s="6">
        <v>27</v>
      </c>
      <c r="P58" s="1">
        <v>3</v>
      </c>
      <c r="Q58" s="4">
        <v>0</v>
      </c>
      <c r="R58" s="6">
        <v>13.68</v>
      </c>
      <c r="S58" s="1">
        <v>1.54</v>
      </c>
      <c r="T58" s="1" t="s">
        <v>32</v>
      </c>
      <c r="U58" s="1">
        <v>2011</v>
      </c>
    </row>
    <row r="59" spans="1:21" x14ac:dyDescent="0.35">
      <c r="A59" s="1" t="s">
        <v>214</v>
      </c>
      <c r="B59" s="2">
        <v>40547</v>
      </c>
      <c r="C59" s="2">
        <v>40552</v>
      </c>
      <c r="D59" s="1" t="s">
        <v>22</v>
      </c>
      <c r="E59" s="1" t="s">
        <v>215</v>
      </c>
      <c r="F59" s="1" t="s">
        <v>78</v>
      </c>
      <c r="G59" s="1" t="s">
        <v>110</v>
      </c>
      <c r="H59" s="1" t="s">
        <v>111</v>
      </c>
      <c r="I59" s="1" t="s">
        <v>56</v>
      </c>
      <c r="J59" s="1" t="s">
        <v>57</v>
      </c>
      <c r="K59" s="1" t="s">
        <v>232</v>
      </c>
      <c r="L59" s="1" t="s">
        <v>29</v>
      </c>
      <c r="M59" s="1" t="s">
        <v>30</v>
      </c>
      <c r="N59" s="1" t="s">
        <v>233</v>
      </c>
      <c r="O59" s="6">
        <v>17</v>
      </c>
      <c r="P59" s="1">
        <v>2</v>
      </c>
      <c r="Q59" s="4">
        <v>0.5</v>
      </c>
      <c r="R59" s="6">
        <v>-1.05</v>
      </c>
      <c r="S59" s="1">
        <v>0.9</v>
      </c>
      <c r="T59" s="1" t="s">
        <v>32</v>
      </c>
      <c r="U59" s="1">
        <v>2011</v>
      </c>
    </row>
    <row r="60" spans="1:21" x14ac:dyDescent="0.35">
      <c r="A60" s="1" t="s">
        <v>234</v>
      </c>
      <c r="B60" s="2">
        <v>40547</v>
      </c>
      <c r="C60" s="2">
        <v>40551</v>
      </c>
      <c r="D60" s="1" t="s">
        <v>22</v>
      </c>
      <c r="E60" s="1" t="s">
        <v>235</v>
      </c>
      <c r="F60" s="1" t="s">
        <v>24</v>
      </c>
      <c r="G60" s="1" t="s">
        <v>236</v>
      </c>
      <c r="H60" s="1" t="s">
        <v>237</v>
      </c>
      <c r="I60" s="1" t="s">
        <v>27</v>
      </c>
      <c r="J60" s="1" t="s">
        <v>27</v>
      </c>
      <c r="K60" s="1" t="s">
        <v>238</v>
      </c>
      <c r="L60" s="1" t="s">
        <v>29</v>
      </c>
      <c r="M60" s="1" t="s">
        <v>155</v>
      </c>
      <c r="N60" s="1" t="s">
        <v>239</v>
      </c>
      <c r="O60" s="6">
        <v>15</v>
      </c>
      <c r="P60" s="1">
        <v>1</v>
      </c>
      <c r="Q60" s="4">
        <v>0</v>
      </c>
      <c r="R60" s="6">
        <v>2.61</v>
      </c>
      <c r="S60" s="1">
        <v>0.82</v>
      </c>
      <c r="T60" s="1" t="s">
        <v>32</v>
      </c>
      <c r="U60" s="1">
        <v>2011</v>
      </c>
    </row>
    <row r="61" spans="1:21" x14ac:dyDescent="0.35">
      <c r="A61" s="1" t="s">
        <v>234</v>
      </c>
      <c r="B61" s="2">
        <v>40547</v>
      </c>
      <c r="C61" s="2">
        <v>40551</v>
      </c>
      <c r="D61" s="1" t="s">
        <v>22</v>
      </c>
      <c r="E61" s="1" t="s">
        <v>235</v>
      </c>
      <c r="F61" s="1" t="s">
        <v>24</v>
      </c>
      <c r="G61" s="1" t="s">
        <v>236</v>
      </c>
      <c r="H61" s="1" t="s">
        <v>237</v>
      </c>
      <c r="I61" s="1" t="s">
        <v>27</v>
      </c>
      <c r="J61" s="1" t="s">
        <v>27</v>
      </c>
      <c r="K61" s="1" t="s">
        <v>240</v>
      </c>
      <c r="L61" s="1" t="s">
        <v>29</v>
      </c>
      <c r="M61" s="1" t="s">
        <v>241</v>
      </c>
      <c r="N61" s="1" t="s">
        <v>242</v>
      </c>
      <c r="O61" s="6">
        <v>6</v>
      </c>
      <c r="P61" s="1">
        <v>1</v>
      </c>
      <c r="Q61" s="4">
        <v>0</v>
      </c>
      <c r="R61" s="6">
        <v>2.1</v>
      </c>
      <c r="S61" s="1">
        <v>0.51</v>
      </c>
      <c r="T61" s="1" t="s">
        <v>32</v>
      </c>
      <c r="U61" s="1">
        <v>2011</v>
      </c>
    </row>
    <row r="62" spans="1:21" x14ac:dyDescent="0.35">
      <c r="A62" s="1" t="s">
        <v>243</v>
      </c>
      <c r="B62" s="2">
        <v>40548</v>
      </c>
      <c r="C62" s="2">
        <v>40552</v>
      </c>
      <c r="D62" s="1" t="s">
        <v>22</v>
      </c>
      <c r="E62" s="1" t="s">
        <v>244</v>
      </c>
      <c r="F62" s="1" t="s">
        <v>24</v>
      </c>
      <c r="G62" s="1" t="s">
        <v>245</v>
      </c>
      <c r="H62" s="1" t="s">
        <v>183</v>
      </c>
      <c r="I62" s="1" t="s">
        <v>126</v>
      </c>
      <c r="J62" s="1" t="s">
        <v>57</v>
      </c>
      <c r="K62" s="1" t="s">
        <v>246</v>
      </c>
      <c r="L62" s="1" t="s">
        <v>29</v>
      </c>
      <c r="M62" s="1" t="s">
        <v>80</v>
      </c>
      <c r="N62" s="1" t="s">
        <v>247</v>
      </c>
      <c r="O62" s="6">
        <v>3029</v>
      </c>
      <c r="P62" s="1">
        <v>8</v>
      </c>
      <c r="Q62" s="4">
        <v>0</v>
      </c>
      <c r="R62" s="6">
        <v>999.36</v>
      </c>
      <c r="S62" s="1">
        <v>191.2</v>
      </c>
      <c r="T62" s="1" t="s">
        <v>32</v>
      </c>
      <c r="U62" s="1">
        <v>2011</v>
      </c>
    </row>
    <row r="63" spans="1:21" x14ac:dyDescent="0.35">
      <c r="A63" s="1" t="s">
        <v>255</v>
      </c>
      <c r="B63" s="2">
        <v>40548</v>
      </c>
      <c r="C63" s="2">
        <v>40552</v>
      </c>
      <c r="D63" s="1" t="s">
        <v>22</v>
      </c>
      <c r="E63" s="1" t="s">
        <v>256</v>
      </c>
      <c r="F63" s="1" t="s">
        <v>53</v>
      </c>
      <c r="G63" s="1" t="s">
        <v>257</v>
      </c>
      <c r="H63" s="1" t="s">
        <v>221</v>
      </c>
      <c r="I63" s="1" t="s">
        <v>222</v>
      </c>
      <c r="J63" s="1" t="s">
        <v>127</v>
      </c>
      <c r="K63" s="1" t="s">
        <v>258</v>
      </c>
      <c r="L63" s="1" t="s">
        <v>29</v>
      </c>
      <c r="M63" s="1" t="s">
        <v>30</v>
      </c>
      <c r="N63" s="1" t="s">
        <v>259</v>
      </c>
      <c r="O63" s="6">
        <v>273</v>
      </c>
      <c r="P63" s="1">
        <v>3</v>
      </c>
      <c r="Q63" s="4">
        <v>0.2</v>
      </c>
      <c r="R63" s="6">
        <v>-64.774799999999999</v>
      </c>
      <c r="S63" s="1">
        <v>13.59</v>
      </c>
      <c r="T63" s="1" t="s">
        <v>50</v>
      </c>
      <c r="U63" s="1">
        <v>2011</v>
      </c>
    </row>
    <row r="64" spans="1:21" x14ac:dyDescent="0.35">
      <c r="A64" s="1" t="s">
        <v>260</v>
      </c>
      <c r="B64" s="2">
        <v>40548</v>
      </c>
      <c r="C64" s="2">
        <v>40554</v>
      </c>
      <c r="D64" s="1" t="s">
        <v>22</v>
      </c>
      <c r="E64" s="1" t="s">
        <v>261</v>
      </c>
      <c r="F64" s="1" t="s">
        <v>24</v>
      </c>
      <c r="G64" s="1" t="s">
        <v>262</v>
      </c>
      <c r="H64" s="1" t="s">
        <v>263</v>
      </c>
      <c r="I64" s="1" t="s">
        <v>37</v>
      </c>
      <c r="J64" s="1" t="s">
        <v>229</v>
      </c>
      <c r="K64" s="1" t="s">
        <v>264</v>
      </c>
      <c r="L64" s="1" t="s">
        <v>62</v>
      </c>
      <c r="M64" s="1" t="s">
        <v>63</v>
      </c>
      <c r="N64" s="1" t="s">
        <v>265</v>
      </c>
      <c r="O64" s="6">
        <v>49</v>
      </c>
      <c r="P64" s="1">
        <v>1</v>
      </c>
      <c r="Q64" s="4">
        <v>0</v>
      </c>
      <c r="R64" s="6">
        <v>22.92</v>
      </c>
      <c r="S64" s="1">
        <v>5.82</v>
      </c>
      <c r="T64" s="1" t="s">
        <v>90</v>
      </c>
      <c r="U64" s="1">
        <v>2011</v>
      </c>
    </row>
    <row r="65" spans="1:21" x14ac:dyDescent="0.35">
      <c r="A65" s="1" t="s">
        <v>255</v>
      </c>
      <c r="B65" s="2">
        <v>40548</v>
      </c>
      <c r="C65" s="2">
        <v>40552</v>
      </c>
      <c r="D65" s="1" t="s">
        <v>22</v>
      </c>
      <c r="E65" s="1" t="s">
        <v>256</v>
      </c>
      <c r="F65" s="1" t="s">
        <v>53</v>
      </c>
      <c r="G65" s="1" t="s">
        <v>257</v>
      </c>
      <c r="H65" s="1" t="s">
        <v>221</v>
      </c>
      <c r="I65" s="1" t="s">
        <v>222</v>
      </c>
      <c r="J65" s="1" t="s">
        <v>127</v>
      </c>
      <c r="K65" s="1" t="s">
        <v>266</v>
      </c>
      <c r="L65" s="1" t="s">
        <v>29</v>
      </c>
      <c r="M65" s="1" t="s">
        <v>149</v>
      </c>
      <c r="N65" s="1" t="s">
        <v>267</v>
      </c>
      <c r="O65" s="6">
        <v>12</v>
      </c>
      <c r="P65" s="1">
        <v>3</v>
      </c>
      <c r="Q65" s="4">
        <v>0.2</v>
      </c>
      <c r="R65" s="6">
        <v>4.2717000000000001</v>
      </c>
      <c r="S65" s="1">
        <v>0.99</v>
      </c>
      <c r="T65" s="1" t="s">
        <v>50</v>
      </c>
      <c r="U65" s="1">
        <v>2011</v>
      </c>
    </row>
    <row r="66" spans="1:21" x14ac:dyDescent="0.35">
      <c r="A66" s="1" t="s">
        <v>255</v>
      </c>
      <c r="B66" s="2">
        <v>40548</v>
      </c>
      <c r="C66" s="2">
        <v>40552</v>
      </c>
      <c r="D66" s="1" t="s">
        <v>22</v>
      </c>
      <c r="E66" s="1" t="s">
        <v>256</v>
      </c>
      <c r="F66" s="1" t="s">
        <v>53</v>
      </c>
      <c r="G66" s="1" t="s">
        <v>257</v>
      </c>
      <c r="H66" s="1" t="s">
        <v>221</v>
      </c>
      <c r="I66" s="1" t="s">
        <v>222</v>
      </c>
      <c r="J66" s="1" t="s">
        <v>127</v>
      </c>
      <c r="K66" s="1" t="s">
        <v>268</v>
      </c>
      <c r="L66" s="1" t="s">
        <v>29</v>
      </c>
      <c r="M66" s="1" t="s">
        <v>241</v>
      </c>
      <c r="N66" s="1" t="s">
        <v>269</v>
      </c>
      <c r="O66" s="6">
        <v>4</v>
      </c>
      <c r="P66" s="1">
        <v>2</v>
      </c>
      <c r="Q66" s="4">
        <v>0.8</v>
      </c>
      <c r="R66" s="6">
        <v>-5.4870000000000001</v>
      </c>
      <c r="S66" s="1">
        <v>0.55000000000000004</v>
      </c>
      <c r="T66" s="1" t="s">
        <v>50</v>
      </c>
      <c r="U66" s="1">
        <v>2011</v>
      </c>
    </row>
    <row r="67" spans="1:21" x14ac:dyDescent="0.35">
      <c r="A67" s="1" t="s">
        <v>275</v>
      </c>
      <c r="B67" s="2">
        <v>40549</v>
      </c>
      <c r="C67" s="2">
        <v>40553</v>
      </c>
      <c r="D67" s="1" t="s">
        <v>22</v>
      </c>
      <c r="E67" s="1" t="s">
        <v>276</v>
      </c>
      <c r="F67" s="1" t="s">
        <v>24</v>
      </c>
      <c r="G67" s="1" t="s">
        <v>277</v>
      </c>
      <c r="H67" s="1" t="s">
        <v>278</v>
      </c>
      <c r="I67" s="1" t="s">
        <v>37</v>
      </c>
      <c r="J67" s="1" t="s">
        <v>102</v>
      </c>
      <c r="K67" s="1" t="s">
        <v>279</v>
      </c>
      <c r="L67" s="1" t="s">
        <v>29</v>
      </c>
      <c r="M67" s="1" t="s">
        <v>30</v>
      </c>
      <c r="N67" s="1" t="s">
        <v>280</v>
      </c>
      <c r="O67" s="6">
        <v>50</v>
      </c>
      <c r="P67" s="1">
        <v>3</v>
      </c>
      <c r="Q67" s="4">
        <v>0.17</v>
      </c>
      <c r="R67" s="6">
        <v>6.0084</v>
      </c>
      <c r="S67" s="1">
        <v>6.2</v>
      </c>
      <c r="T67" s="1" t="s">
        <v>50</v>
      </c>
      <c r="U67" s="1">
        <v>2011</v>
      </c>
    </row>
    <row r="68" spans="1:21" x14ac:dyDescent="0.35">
      <c r="A68" s="1" t="s">
        <v>281</v>
      </c>
      <c r="B68" s="2">
        <v>40549</v>
      </c>
      <c r="C68" s="2">
        <v>40556</v>
      </c>
      <c r="D68" s="1" t="s">
        <v>22</v>
      </c>
      <c r="E68" s="1" t="s">
        <v>282</v>
      </c>
      <c r="F68" s="1" t="s">
        <v>53</v>
      </c>
      <c r="G68" s="1" t="s">
        <v>283</v>
      </c>
      <c r="H68" s="1" t="s">
        <v>284</v>
      </c>
      <c r="I68" s="1" t="s">
        <v>37</v>
      </c>
      <c r="J68" s="1" t="s">
        <v>102</v>
      </c>
      <c r="K68" s="1" t="s">
        <v>285</v>
      </c>
      <c r="L68" s="1" t="s">
        <v>29</v>
      </c>
      <c r="M68" s="1" t="s">
        <v>30</v>
      </c>
      <c r="N68" s="1" t="s">
        <v>286</v>
      </c>
      <c r="O68" s="6">
        <v>90</v>
      </c>
      <c r="P68" s="1">
        <v>2</v>
      </c>
      <c r="Q68" s="4">
        <v>0.17</v>
      </c>
      <c r="R68" s="6">
        <v>29.268599999999999</v>
      </c>
      <c r="S68" s="1">
        <v>3.62</v>
      </c>
      <c r="T68" s="1" t="s">
        <v>32</v>
      </c>
      <c r="U68" s="1">
        <v>2011</v>
      </c>
    </row>
    <row r="69" spans="1:21" x14ac:dyDescent="0.35">
      <c r="A69" s="1" t="s">
        <v>275</v>
      </c>
      <c r="B69" s="2">
        <v>40549</v>
      </c>
      <c r="C69" s="2">
        <v>40553</v>
      </c>
      <c r="D69" s="1" t="s">
        <v>22</v>
      </c>
      <c r="E69" s="1" t="s">
        <v>276</v>
      </c>
      <c r="F69" s="1" t="s">
        <v>24</v>
      </c>
      <c r="G69" s="1" t="s">
        <v>277</v>
      </c>
      <c r="H69" s="1" t="s">
        <v>278</v>
      </c>
      <c r="I69" s="1" t="s">
        <v>37</v>
      </c>
      <c r="J69" s="1" t="s">
        <v>102</v>
      </c>
      <c r="K69" s="1" t="s">
        <v>287</v>
      </c>
      <c r="L69" s="1" t="s">
        <v>29</v>
      </c>
      <c r="M69" s="1" t="s">
        <v>169</v>
      </c>
      <c r="N69" s="1" t="s">
        <v>288</v>
      </c>
      <c r="O69" s="6">
        <v>41</v>
      </c>
      <c r="P69" s="1">
        <v>7</v>
      </c>
      <c r="Q69" s="4">
        <v>0.47</v>
      </c>
      <c r="R69" s="6">
        <v>-27.094200000000001</v>
      </c>
      <c r="S69" s="1">
        <v>2.63</v>
      </c>
      <c r="T69" s="1" t="s">
        <v>50</v>
      </c>
      <c r="U69" s="1">
        <v>2011</v>
      </c>
    </row>
    <row r="70" spans="1:21" x14ac:dyDescent="0.35">
      <c r="A70" s="1" t="s">
        <v>281</v>
      </c>
      <c r="B70" s="2">
        <v>40549</v>
      </c>
      <c r="C70" s="2">
        <v>40556</v>
      </c>
      <c r="D70" s="1" t="s">
        <v>22</v>
      </c>
      <c r="E70" s="1" t="s">
        <v>282</v>
      </c>
      <c r="F70" s="1" t="s">
        <v>53</v>
      </c>
      <c r="G70" s="1" t="s">
        <v>283</v>
      </c>
      <c r="H70" s="1" t="s">
        <v>284</v>
      </c>
      <c r="I70" s="1" t="s">
        <v>37</v>
      </c>
      <c r="J70" s="1" t="s">
        <v>102</v>
      </c>
      <c r="K70" s="1" t="s">
        <v>289</v>
      </c>
      <c r="L70" s="1" t="s">
        <v>29</v>
      </c>
      <c r="M70" s="1" t="s">
        <v>59</v>
      </c>
      <c r="N70" s="1" t="s">
        <v>290</v>
      </c>
      <c r="O70" s="6">
        <v>39</v>
      </c>
      <c r="P70" s="1">
        <v>3</v>
      </c>
      <c r="Q70" s="4">
        <v>0.17</v>
      </c>
      <c r="R70" s="6">
        <v>11.5893</v>
      </c>
      <c r="S70" s="1">
        <v>2.4500000000000002</v>
      </c>
      <c r="T70" s="1" t="s">
        <v>32</v>
      </c>
      <c r="U70" s="1">
        <v>2011</v>
      </c>
    </row>
    <row r="71" spans="1:21" x14ac:dyDescent="0.35">
      <c r="A71" s="1" t="s">
        <v>291</v>
      </c>
      <c r="B71" s="2">
        <v>40549</v>
      </c>
      <c r="C71" s="2">
        <v>40554</v>
      </c>
      <c r="D71" s="1" t="s">
        <v>22</v>
      </c>
      <c r="E71" s="1" t="s">
        <v>292</v>
      </c>
      <c r="F71" s="1" t="s">
        <v>78</v>
      </c>
      <c r="G71" s="1" t="s">
        <v>293</v>
      </c>
      <c r="H71" s="1" t="s">
        <v>294</v>
      </c>
      <c r="I71" s="1" t="s">
        <v>27</v>
      </c>
      <c r="J71" s="1" t="s">
        <v>27</v>
      </c>
      <c r="K71" s="1" t="s">
        <v>295</v>
      </c>
      <c r="L71" s="1" t="s">
        <v>72</v>
      </c>
      <c r="M71" s="1" t="s">
        <v>138</v>
      </c>
      <c r="N71" s="1" t="s">
        <v>296</v>
      </c>
      <c r="O71" s="6">
        <v>28</v>
      </c>
      <c r="P71" s="1">
        <v>1</v>
      </c>
      <c r="Q71" s="4">
        <v>0</v>
      </c>
      <c r="R71" s="6">
        <v>12.72</v>
      </c>
      <c r="S71" s="1">
        <v>2</v>
      </c>
      <c r="T71" s="1" t="s">
        <v>32</v>
      </c>
      <c r="U71" s="1">
        <v>2011</v>
      </c>
    </row>
    <row r="72" spans="1:21" x14ac:dyDescent="0.35">
      <c r="A72" s="1" t="s">
        <v>297</v>
      </c>
      <c r="B72" s="2">
        <v>40549</v>
      </c>
      <c r="C72" s="2">
        <v>40553</v>
      </c>
      <c r="D72" s="1" t="s">
        <v>22</v>
      </c>
      <c r="E72" s="1" t="s">
        <v>298</v>
      </c>
      <c r="F72" s="1" t="s">
        <v>24</v>
      </c>
      <c r="G72" s="1" t="s">
        <v>299</v>
      </c>
      <c r="H72" s="1" t="s">
        <v>300</v>
      </c>
      <c r="I72" s="1" t="s">
        <v>37</v>
      </c>
      <c r="J72" s="1" t="s">
        <v>229</v>
      </c>
      <c r="K72" s="1" t="s">
        <v>301</v>
      </c>
      <c r="L72" s="1" t="s">
        <v>29</v>
      </c>
      <c r="M72" s="1" t="s">
        <v>166</v>
      </c>
      <c r="N72" s="1" t="s">
        <v>302</v>
      </c>
      <c r="O72" s="6">
        <v>31</v>
      </c>
      <c r="P72" s="1">
        <v>1</v>
      </c>
      <c r="Q72" s="4">
        <v>0</v>
      </c>
      <c r="R72" s="6">
        <v>13.11</v>
      </c>
      <c r="S72" s="1">
        <v>1.96</v>
      </c>
      <c r="T72" s="1" t="s">
        <v>50</v>
      </c>
      <c r="U72" s="1">
        <v>2011</v>
      </c>
    </row>
    <row r="73" spans="1:21" x14ac:dyDescent="0.35">
      <c r="A73" s="1" t="s">
        <v>303</v>
      </c>
      <c r="B73" s="2">
        <v>40549</v>
      </c>
      <c r="C73" s="2">
        <v>40556</v>
      </c>
      <c r="D73" s="1" t="s">
        <v>22</v>
      </c>
      <c r="E73" s="1" t="s">
        <v>304</v>
      </c>
      <c r="F73" s="1" t="s">
        <v>24</v>
      </c>
      <c r="G73" s="1" t="s">
        <v>305</v>
      </c>
      <c r="H73" s="1" t="s">
        <v>221</v>
      </c>
      <c r="I73" s="1" t="s">
        <v>222</v>
      </c>
      <c r="J73" s="1" t="s">
        <v>306</v>
      </c>
      <c r="K73" s="1" t="s">
        <v>307</v>
      </c>
      <c r="L73" s="1" t="s">
        <v>29</v>
      </c>
      <c r="M73" s="1" t="s">
        <v>155</v>
      </c>
      <c r="N73" s="1" t="s">
        <v>308</v>
      </c>
      <c r="O73" s="6">
        <v>20</v>
      </c>
      <c r="P73" s="1">
        <v>3</v>
      </c>
      <c r="Q73" s="4">
        <v>0.2</v>
      </c>
      <c r="R73" s="6">
        <v>4.8840000000000003</v>
      </c>
      <c r="S73" s="1">
        <v>1.85</v>
      </c>
      <c r="T73" s="1" t="s">
        <v>90</v>
      </c>
      <c r="U73" s="1">
        <v>2011</v>
      </c>
    </row>
    <row r="74" spans="1:21" x14ac:dyDescent="0.35">
      <c r="A74" s="1" t="s">
        <v>309</v>
      </c>
      <c r="B74" s="2">
        <v>40550</v>
      </c>
      <c r="C74" s="2">
        <v>40554</v>
      </c>
      <c r="D74" s="1" t="s">
        <v>22</v>
      </c>
      <c r="E74" s="1" t="s">
        <v>310</v>
      </c>
      <c r="F74" s="1" t="s">
        <v>53</v>
      </c>
      <c r="G74" s="1" t="s">
        <v>311</v>
      </c>
      <c r="H74" s="1" t="s">
        <v>221</v>
      </c>
      <c r="I74" s="1" t="s">
        <v>222</v>
      </c>
      <c r="J74" s="1" t="s">
        <v>177</v>
      </c>
      <c r="K74" s="1" t="s">
        <v>312</v>
      </c>
      <c r="L74" s="1" t="s">
        <v>62</v>
      </c>
      <c r="M74" s="1" t="s">
        <v>96</v>
      </c>
      <c r="N74" s="1" t="s">
        <v>313</v>
      </c>
      <c r="O74" s="6">
        <v>2574</v>
      </c>
      <c r="P74" s="1">
        <v>9</v>
      </c>
      <c r="Q74" s="4">
        <v>0</v>
      </c>
      <c r="R74" s="6">
        <v>746.40779999999995</v>
      </c>
      <c r="S74" s="1">
        <v>258.99</v>
      </c>
      <c r="T74" s="1" t="s">
        <v>50</v>
      </c>
      <c r="U74" s="1">
        <v>2011</v>
      </c>
    </row>
    <row r="75" spans="1:21" x14ac:dyDescent="0.35">
      <c r="A75" s="1" t="s">
        <v>309</v>
      </c>
      <c r="B75" s="2">
        <v>40550</v>
      </c>
      <c r="C75" s="2">
        <v>40554</v>
      </c>
      <c r="D75" s="1" t="s">
        <v>22</v>
      </c>
      <c r="E75" s="1" t="s">
        <v>310</v>
      </c>
      <c r="F75" s="1" t="s">
        <v>53</v>
      </c>
      <c r="G75" s="1" t="s">
        <v>311</v>
      </c>
      <c r="H75" s="1" t="s">
        <v>221</v>
      </c>
      <c r="I75" s="1" t="s">
        <v>222</v>
      </c>
      <c r="J75" s="1" t="s">
        <v>177</v>
      </c>
      <c r="K75" s="1" t="s">
        <v>314</v>
      </c>
      <c r="L75" s="1" t="s">
        <v>29</v>
      </c>
      <c r="M75" s="1" t="s">
        <v>241</v>
      </c>
      <c r="N75" s="1" t="s">
        <v>315</v>
      </c>
      <c r="O75" s="6">
        <v>610</v>
      </c>
      <c r="P75" s="1">
        <v>2</v>
      </c>
      <c r="Q75" s="4">
        <v>0</v>
      </c>
      <c r="R75" s="6">
        <v>274.49099999999999</v>
      </c>
      <c r="S75" s="1">
        <v>88.07</v>
      </c>
      <c r="T75" s="1" t="s">
        <v>50</v>
      </c>
      <c r="U75" s="1">
        <v>2011</v>
      </c>
    </row>
    <row r="76" spans="1:21" x14ac:dyDescent="0.35">
      <c r="A76" s="1" t="s">
        <v>309</v>
      </c>
      <c r="B76" s="2">
        <v>40550</v>
      </c>
      <c r="C76" s="2">
        <v>40554</v>
      </c>
      <c r="D76" s="1" t="s">
        <v>22</v>
      </c>
      <c r="E76" s="1" t="s">
        <v>310</v>
      </c>
      <c r="F76" s="1" t="s">
        <v>53</v>
      </c>
      <c r="G76" s="1" t="s">
        <v>311</v>
      </c>
      <c r="H76" s="1" t="s">
        <v>221</v>
      </c>
      <c r="I76" s="1" t="s">
        <v>222</v>
      </c>
      <c r="J76" s="1" t="s">
        <v>177</v>
      </c>
      <c r="K76" s="1" t="s">
        <v>316</v>
      </c>
      <c r="L76" s="1" t="s">
        <v>72</v>
      </c>
      <c r="M76" s="1" t="s">
        <v>129</v>
      </c>
      <c r="N76" s="1" t="s">
        <v>317</v>
      </c>
      <c r="O76" s="6">
        <v>392</v>
      </c>
      <c r="P76" s="1">
        <v>2</v>
      </c>
      <c r="Q76" s="4">
        <v>0</v>
      </c>
      <c r="R76" s="6">
        <v>113.6742</v>
      </c>
      <c r="S76" s="1">
        <v>62.37</v>
      </c>
      <c r="T76" s="1" t="s">
        <v>50</v>
      </c>
      <c r="U76" s="1">
        <v>2011</v>
      </c>
    </row>
    <row r="77" spans="1:21" x14ac:dyDescent="0.35">
      <c r="A77" s="1" t="s">
        <v>323</v>
      </c>
      <c r="B77" s="2">
        <v>40550</v>
      </c>
      <c r="C77" s="2">
        <v>40554</v>
      </c>
      <c r="D77" s="1" t="s">
        <v>22</v>
      </c>
      <c r="E77" s="1" t="s">
        <v>324</v>
      </c>
      <c r="F77" s="1" t="s">
        <v>24</v>
      </c>
      <c r="G77" s="1" t="s">
        <v>100</v>
      </c>
      <c r="H77" s="1" t="s">
        <v>101</v>
      </c>
      <c r="I77" s="1" t="s">
        <v>37</v>
      </c>
      <c r="J77" s="1" t="s">
        <v>102</v>
      </c>
      <c r="K77" s="1" t="s">
        <v>325</v>
      </c>
      <c r="L77" s="1" t="s">
        <v>72</v>
      </c>
      <c r="M77" s="1" t="s">
        <v>73</v>
      </c>
      <c r="N77" s="1" t="s">
        <v>326</v>
      </c>
      <c r="O77" s="6">
        <v>445</v>
      </c>
      <c r="P77" s="1">
        <v>7</v>
      </c>
      <c r="Q77" s="4">
        <v>0.25</v>
      </c>
      <c r="R77" s="6">
        <v>-136.71</v>
      </c>
      <c r="S77" s="1">
        <v>46.97</v>
      </c>
      <c r="T77" s="1" t="s">
        <v>50</v>
      </c>
      <c r="U77" s="1">
        <v>2011</v>
      </c>
    </row>
    <row r="78" spans="1:21" x14ac:dyDescent="0.35">
      <c r="A78" s="1" t="s">
        <v>323</v>
      </c>
      <c r="B78" s="2">
        <v>40550</v>
      </c>
      <c r="C78" s="2">
        <v>40554</v>
      </c>
      <c r="D78" s="1" t="s">
        <v>22</v>
      </c>
      <c r="E78" s="1" t="s">
        <v>324</v>
      </c>
      <c r="F78" s="1" t="s">
        <v>24</v>
      </c>
      <c r="G78" s="1" t="s">
        <v>100</v>
      </c>
      <c r="H78" s="1" t="s">
        <v>101</v>
      </c>
      <c r="I78" s="1" t="s">
        <v>37</v>
      </c>
      <c r="J78" s="1" t="s">
        <v>102</v>
      </c>
      <c r="K78" s="1" t="s">
        <v>327</v>
      </c>
      <c r="L78" s="1" t="s">
        <v>72</v>
      </c>
      <c r="M78" s="1" t="s">
        <v>138</v>
      </c>
      <c r="N78" s="1" t="s">
        <v>328</v>
      </c>
      <c r="O78" s="6">
        <v>274</v>
      </c>
      <c r="P78" s="1">
        <v>2</v>
      </c>
      <c r="Q78" s="4">
        <v>0.45</v>
      </c>
      <c r="R78" s="6">
        <v>-44.838000000000001</v>
      </c>
      <c r="S78" s="1">
        <v>42.19</v>
      </c>
      <c r="T78" s="1" t="s">
        <v>50</v>
      </c>
      <c r="U78" s="1">
        <v>2011</v>
      </c>
    </row>
    <row r="79" spans="1:21" x14ac:dyDescent="0.35">
      <c r="A79" s="1" t="s">
        <v>323</v>
      </c>
      <c r="B79" s="2">
        <v>40550</v>
      </c>
      <c r="C79" s="2">
        <v>40554</v>
      </c>
      <c r="D79" s="1" t="s">
        <v>22</v>
      </c>
      <c r="E79" s="1" t="s">
        <v>324</v>
      </c>
      <c r="F79" s="1" t="s">
        <v>24</v>
      </c>
      <c r="G79" s="1" t="s">
        <v>100</v>
      </c>
      <c r="H79" s="1" t="s">
        <v>101</v>
      </c>
      <c r="I79" s="1" t="s">
        <v>37</v>
      </c>
      <c r="J79" s="1" t="s">
        <v>102</v>
      </c>
      <c r="K79" s="1" t="s">
        <v>334</v>
      </c>
      <c r="L79" s="1" t="s">
        <v>72</v>
      </c>
      <c r="M79" s="1" t="s">
        <v>73</v>
      </c>
      <c r="N79" s="1" t="s">
        <v>335</v>
      </c>
      <c r="O79" s="6">
        <v>388</v>
      </c>
      <c r="P79" s="1">
        <v>3</v>
      </c>
      <c r="Q79" s="4">
        <v>0.25</v>
      </c>
      <c r="R79" s="6">
        <v>25.807500000000001</v>
      </c>
      <c r="S79" s="1">
        <v>26.2</v>
      </c>
      <c r="T79" s="1" t="s">
        <v>50</v>
      </c>
      <c r="U79" s="1">
        <v>2011</v>
      </c>
    </row>
    <row r="80" spans="1:21" x14ac:dyDescent="0.35">
      <c r="A80" s="1" t="s">
        <v>336</v>
      </c>
      <c r="B80" s="2">
        <v>40550</v>
      </c>
      <c r="C80" s="2">
        <v>40554</v>
      </c>
      <c r="D80" s="1" t="s">
        <v>22</v>
      </c>
      <c r="E80" s="1" t="s">
        <v>337</v>
      </c>
      <c r="F80" s="1" t="s">
        <v>78</v>
      </c>
      <c r="G80" s="1" t="s">
        <v>338</v>
      </c>
      <c r="H80" s="1" t="s">
        <v>339</v>
      </c>
      <c r="I80" s="1" t="s">
        <v>47</v>
      </c>
      <c r="J80" s="1" t="s">
        <v>47</v>
      </c>
      <c r="K80" s="1" t="s">
        <v>340</v>
      </c>
      <c r="L80" s="1" t="s">
        <v>72</v>
      </c>
      <c r="M80" s="1" t="s">
        <v>88</v>
      </c>
      <c r="N80" s="1" t="s">
        <v>341</v>
      </c>
      <c r="O80" s="6">
        <v>174</v>
      </c>
      <c r="P80" s="1">
        <v>1</v>
      </c>
      <c r="Q80" s="4">
        <v>0</v>
      </c>
      <c r="R80" s="6">
        <v>71.459999999999994</v>
      </c>
      <c r="S80" s="1">
        <v>23.84</v>
      </c>
      <c r="T80" s="1" t="s">
        <v>50</v>
      </c>
      <c r="U80" s="1">
        <v>2011</v>
      </c>
    </row>
    <row r="81" spans="1:21" x14ac:dyDescent="0.35">
      <c r="A81" s="1" t="s">
        <v>309</v>
      </c>
      <c r="B81" s="2">
        <v>40550</v>
      </c>
      <c r="C81" s="2">
        <v>40554</v>
      </c>
      <c r="D81" s="1" t="s">
        <v>22</v>
      </c>
      <c r="E81" s="1" t="s">
        <v>310</v>
      </c>
      <c r="F81" s="1" t="s">
        <v>53</v>
      </c>
      <c r="G81" s="1" t="s">
        <v>311</v>
      </c>
      <c r="H81" s="1" t="s">
        <v>221</v>
      </c>
      <c r="I81" s="1" t="s">
        <v>222</v>
      </c>
      <c r="J81" s="1" t="s">
        <v>177</v>
      </c>
      <c r="K81" s="1" t="s">
        <v>342</v>
      </c>
      <c r="L81" s="1" t="s">
        <v>72</v>
      </c>
      <c r="M81" s="1" t="s">
        <v>129</v>
      </c>
      <c r="N81" s="1" t="s">
        <v>343</v>
      </c>
      <c r="O81" s="6">
        <v>756</v>
      </c>
      <c r="P81" s="1">
        <v>4</v>
      </c>
      <c r="Q81" s="4">
        <v>0</v>
      </c>
      <c r="R81" s="6">
        <v>204.10919999999999</v>
      </c>
      <c r="S81" s="1">
        <v>13.82</v>
      </c>
      <c r="T81" s="1" t="s">
        <v>50</v>
      </c>
      <c r="U81" s="1">
        <v>2011</v>
      </c>
    </row>
    <row r="82" spans="1:21" x14ac:dyDescent="0.35">
      <c r="A82" s="1" t="s">
        <v>356</v>
      </c>
      <c r="B82" s="2">
        <v>40550</v>
      </c>
      <c r="C82" s="2">
        <v>40554</v>
      </c>
      <c r="D82" s="1" t="s">
        <v>22</v>
      </c>
      <c r="E82" s="1" t="s">
        <v>357</v>
      </c>
      <c r="F82" s="1" t="s">
        <v>78</v>
      </c>
      <c r="G82" s="1" t="s">
        <v>358</v>
      </c>
      <c r="H82" s="1" t="s">
        <v>26</v>
      </c>
      <c r="I82" s="1" t="s">
        <v>27</v>
      </c>
      <c r="J82" s="1" t="s">
        <v>27</v>
      </c>
      <c r="K82" s="1" t="s">
        <v>359</v>
      </c>
      <c r="L82" s="1" t="s">
        <v>29</v>
      </c>
      <c r="M82" s="1" t="s">
        <v>155</v>
      </c>
      <c r="N82" s="1" t="s">
        <v>360</v>
      </c>
      <c r="O82" s="6">
        <v>91</v>
      </c>
      <c r="P82" s="1">
        <v>2</v>
      </c>
      <c r="Q82" s="4">
        <v>0</v>
      </c>
      <c r="R82" s="6">
        <v>14.58</v>
      </c>
      <c r="S82" s="1">
        <v>4.3600000000000003</v>
      </c>
      <c r="T82" s="1" t="s">
        <v>32</v>
      </c>
      <c r="U82" s="1">
        <v>2011</v>
      </c>
    </row>
    <row r="83" spans="1:21" x14ac:dyDescent="0.35">
      <c r="A83" s="1" t="s">
        <v>323</v>
      </c>
      <c r="B83" s="2">
        <v>40550</v>
      </c>
      <c r="C83" s="2">
        <v>40554</v>
      </c>
      <c r="D83" s="1" t="s">
        <v>22</v>
      </c>
      <c r="E83" s="1" t="s">
        <v>324</v>
      </c>
      <c r="F83" s="1" t="s">
        <v>24</v>
      </c>
      <c r="G83" s="1" t="s">
        <v>100</v>
      </c>
      <c r="H83" s="1" t="s">
        <v>101</v>
      </c>
      <c r="I83" s="1" t="s">
        <v>37</v>
      </c>
      <c r="J83" s="1" t="s">
        <v>102</v>
      </c>
      <c r="K83" s="1" t="s">
        <v>372</v>
      </c>
      <c r="L83" s="1" t="s">
        <v>29</v>
      </c>
      <c r="M83" s="1" t="s">
        <v>155</v>
      </c>
      <c r="N83" s="1" t="s">
        <v>373</v>
      </c>
      <c r="O83" s="6">
        <v>27</v>
      </c>
      <c r="P83" s="1">
        <v>1</v>
      </c>
      <c r="Q83" s="4">
        <v>0.45</v>
      </c>
      <c r="R83" s="6">
        <v>-4.4939999999999998</v>
      </c>
      <c r="S83" s="1">
        <v>3.21</v>
      </c>
      <c r="T83" s="1" t="s">
        <v>50</v>
      </c>
      <c r="U83" s="1">
        <v>2011</v>
      </c>
    </row>
    <row r="84" spans="1:21" x14ac:dyDescent="0.35">
      <c r="A84" s="1" t="s">
        <v>336</v>
      </c>
      <c r="B84" s="2">
        <v>40550</v>
      </c>
      <c r="C84" s="2">
        <v>40554</v>
      </c>
      <c r="D84" s="1" t="s">
        <v>22</v>
      </c>
      <c r="E84" s="1" t="s">
        <v>337</v>
      </c>
      <c r="F84" s="1" t="s">
        <v>78</v>
      </c>
      <c r="G84" s="1" t="s">
        <v>338</v>
      </c>
      <c r="H84" s="1" t="s">
        <v>339</v>
      </c>
      <c r="I84" s="1" t="s">
        <v>47</v>
      </c>
      <c r="J84" s="1" t="s">
        <v>47</v>
      </c>
      <c r="K84" s="1" t="s">
        <v>374</v>
      </c>
      <c r="L84" s="1" t="s">
        <v>62</v>
      </c>
      <c r="M84" s="1" t="s">
        <v>63</v>
      </c>
      <c r="N84" s="1" t="s">
        <v>375</v>
      </c>
      <c r="O84" s="6">
        <v>26</v>
      </c>
      <c r="P84" s="1">
        <v>1</v>
      </c>
      <c r="Q84" s="4">
        <v>0</v>
      </c>
      <c r="R84" s="6">
        <v>7.38</v>
      </c>
      <c r="S84" s="1">
        <v>2.88</v>
      </c>
      <c r="T84" s="1" t="s">
        <v>50</v>
      </c>
      <c r="U84" s="1">
        <v>2011</v>
      </c>
    </row>
    <row r="85" spans="1:21" x14ac:dyDescent="0.35">
      <c r="A85" s="1" t="s">
        <v>309</v>
      </c>
      <c r="B85" s="2">
        <v>40550</v>
      </c>
      <c r="C85" s="2">
        <v>40554</v>
      </c>
      <c r="D85" s="1" t="s">
        <v>22</v>
      </c>
      <c r="E85" s="1" t="s">
        <v>310</v>
      </c>
      <c r="F85" s="1" t="s">
        <v>53</v>
      </c>
      <c r="G85" s="1" t="s">
        <v>311</v>
      </c>
      <c r="H85" s="1" t="s">
        <v>221</v>
      </c>
      <c r="I85" s="1" t="s">
        <v>222</v>
      </c>
      <c r="J85" s="1" t="s">
        <v>177</v>
      </c>
      <c r="K85" s="1" t="s">
        <v>376</v>
      </c>
      <c r="L85" s="1" t="s">
        <v>29</v>
      </c>
      <c r="M85" s="1" t="s">
        <v>169</v>
      </c>
      <c r="N85" s="1" t="s">
        <v>377</v>
      </c>
      <c r="O85" s="6">
        <v>31</v>
      </c>
      <c r="P85" s="1">
        <v>4</v>
      </c>
      <c r="Q85" s="4">
        <v>0</v>
      </c>
      <c r="R85" s="6">
        <v>0.31119999999999998</v>
      </c>
      <c r="S85" s="1">
        <v>2.19</v>
      </c>
      <c r="T85" s="1" t="s">
        <v>50</v>
      </c>
      <c r="U85" s="1">
        <v>2011</v>
      </c>
    </row>
    <row r="86" spans="1:21" x14ac:dyDescent="0.35">
      <c r="A86" s="1" t="s">
        <v>309</v>
      </c>
      <c r="B86" s="2">
        <v>40550</v>
      </c>
      <c r="C86" s="2">
        <v>40554</v>
      </c>
      <c r="D86" s="1" t="s">
        <v>22</v>
      </c>
      <c r="E86" s="1" t="s">
        <v>310</v>
      </c>
      <c r="F86" s="1" t="s">
        <v>53</v>
      </c>
      <c r="G86" s="1" t="s">
        <v>311</v>
      </c>
      <c r="H86" s="1" t="s">
        <v>221</v>
      </c>
      <c r="I86" s="1" t="s">
        <v>222</v>
      </c>
      <c r="J86" s="1" t="s">
        <v>177</v>
      </c>
      <c r="K86" s="1" t="s">
        <v>378</v>
      </c>
      <c r="L86" s="1" t="s">
        <v>29</v>
      </c>
      <c r="M86" s="1" t="s">
        <v>59</v>
      </c>
      <c r="N86" s="1" t="s">
        <v>379</v>
      </c>
      <c r="O86" s="6">
        <v>7</v>
      </c>
      <c r="P86" s="1">
        <v>1</v>
      </c>
      <c r="Q86" s="4">
        <v>0</v>
      </c>
      <c r="R86" s="6">
        <v>3.0084</v>
      </c>
      <c r="S86" s="1">
        <v>1.1299999999999999</v>
      </c>
      <c r="T86" s="1" t="s">
        <v>50</v>
      </c>
      <c r="U86" s="1">
        <v>2011</v>
      </c>
    </row>
    <row r="87" spans="1:21" x14ac:dyDescent="0.35">
      <c r="A87" s="1" t="s">
        <v>380</v>
      </c>
      <c r="B87" s="2">
        <v>40550</v>
      </c>
      <c r="C87" s="2">
        <v>40555</v>
      </c>
      <c r="D87" s="1" t="s">
        <v>22</v>
      </c>
      <c r="E87" s="1" t="s">
        <v>381</v>
      </c>
      <c r="F87" s="1" t="s">
        <v>53</v>
      </c>
      <c r="G87" s="1" t="s">
        <v>382</v>
      </c>
      <c r="H87" s="1" t="s">
        <v>382</v>
      </c>
      <c r="I87" s="1" t="s">
        <v>37</v>
      </c>
      <c r="J87" s="1" t="s">
        <v>102</v>
      </c>
      <c r="K87" s="1" t="s">
        <v>383</v>
      </c>
      <c r="L87" s="1" t="s">
        <v>29</v>
      </c>
      <c r="M87" s="1" t="s">
        <v>149</v>
      </c>
      <c r="N87" s="1" t="s">
        <v>384</v>
      </c>
      <c r="O87" s="6">
        <v>18</v>
      </c>
      <c r="P87" s="1">
        <v>2</v>
      </c>
      <c r="Q87" s="4">
        <v>0</v>
      </c>
      <c r="R87" s="6">
        <v>5.46</v>
      </c>
      <c r="S87" s="1">
        <v>0.89</v>
      </c>
      <c r="T87" s="1" t="s">
        <v>32</v>
      </c>
      <c r="U87" s="1">
        <v>2011</v>
      </c>
    </row>
    <row r="88" spans="1:21" x14ac:dyDescent="0.35">
      <c r="A88" s="1" t="s">
        <v>309</v>
      </c>
      <c r="B88" s="2">
        <v>40550</v>
      </c>
      <c r="C88" s="2">
        <v>40554</v>
      </c>
      <c r="D88" s="1" t="s">
        <v>22</v>
      </c>
      <c r="E88" s="1" t="s">
        <v>310</v>
      </c>
      <c r="F88" s="1" t="s">
        <v>53</v>
      </c>
      <c r="G88" s="1" t="s">
        <v>311</v>
      </c>
      <c r="H88" s="1" t="s">
        <v>221</v>
      </c>
      <c r="I88" s="1" t="s">
        <v>222</v>
      </c>
      <c r="J88" s="1" t="s">
        <v>177</v>
      </c>
      <c r="K88" s="1" t="s">
        <v>385</v>
      </c>
      <c r="L88" s="1" t="s">
        <v>29</v>
      </c>
      <c r="M88" s="1" t="s">
        <v>155</v>
      </c>
      <c r="N88" s="1" t="s">
        <v>386</v>
      </c>
      <c r="O88" s="6">
        <v>5</v>
      </c>
      <c r="P88" s="1">
        <v>2</v>
      </c>
      <c r="Q88" s="4">
        <v>0</v>
      </c>
      <c r="R88" s="6">
        <v>1.4796</v>
      </c>
      <c r="S88" s="1">
        <v>0.52</v>
      </c>
      <c r="T88" s="1" t="s">
        <v>50</v>
      </c>
      <c r="U88" s="1">
        <v>2011</v>
      </c>
    </row>
    <row r="89" spans="1:21" x14ac:dyDescent="0.35">
      <c r="A89" s="1" t="s">
        <v>393</v>
      </c>
      <c r="B89" s="2">
        <v>40551</v>
      </c>
      <c r="C89" s="2">
        <v>40556</v>
      </c>
      <c r="D89" s="1" t="s">
        <v>22</v>
      </c>
      <c r="E89" s="1" t="s">
        <v>394</v>
      </c>
      <c r="F89" s="1" t="s">
        <v>24</v>
      </c>
      <c r="G89" s="1" t="s">
        <v>395</v>
      </c>
      <c r="H89" s="1" t="s">
        <v>294</v>
      </c>
      <c r="I89" s="1" t="s">
        <v>27</v>
      </c>
      <c r="J89" s="1" t="s">
        <v>27</v>
      </c>
      <c r="K89" s="1" t="s">
        <v>396</v>
      </c>
      <c r="L89" s="1" t="s">
        <v>62</v>
      </c>
      <c r="M89" s="1" t="s">
        <v>113</v>
      </c>
      <c r="N89" s="1" t="s">
        <v>397</v>
      </c>
      <c r="O89" s="6">
        <v>2479</v>
      </c>
      <c r="P89" s="1">
        <v>6</v>
      </c>
      <c r="Q89" s="4">
        <v>0</v>
      </c>
      <c r="R89" s="6">
        <v>49.5</v>
      </c>
      <c r="S89" s="1">
        <v>349.87</v>
      </c>
      <c r="T89" s="1" t="s">
        <v>50</v>
      </c>
      <c r="U89" s="1">
        <v>2011</v>
      </c>
    </row>
    <row r="90" spans="1:21" x14ac:dyDescent="0.35">
      <c r="A90" s="1" t="s">
        <v>403</v>
      </c>
      <c r="B90" s="2">
        <v>40551</v>
      </c>
      <c r="C90" s="2">
        <v>40557</v>
      </c>
      <c r="D90" s="1" t="s">
        <v>22</v>
      </c>
      <c r="E90" s="1" t="s">
        <v>219</v>
      </c>
      <c r="F90" s="1" t="s">
        <v>24</v>
      </c>
      <c r="G90" s="1" t="s">
        <v>404</v>
      </c>
      <c r="H90" s="1" t="s">
        <v>196</v>
      </c>
      <c r="I90" s="1" t="s">
        <v>56</v>
      </c>
      <c r="J90" s="1" t="s">
        <v>127</v>
      </c>
      <c r="K90" s="1" t="s">
        <v>405</v>
      </c>
      <c r="L90" s="1" t="s">
        <v>62</v>
      </c>
      <c r="M90" s="1" t="s">
        <v>113</v>
      </c>
      <c r="N90" s="1" t="s">
        <v>406</v>
      </c>
      <c r="O90" s="6">
        <v>987</v>
      </c>
      <c r="P90" s="1">
        <v>6</v>
      </c>
      <c r="Q90" s="4">
        <v>0.6</v>
      </c>
      <c r="R90" s="6">
        <v>-1011.636</v>
      </c>
      <c r="S90" s="1">
        <v>65.64</v>
      </c>
      <c r="T90" s="1" t="s">
        <v>32</v>
      </c>
      <c r="U90" s="1">
        <v>2011</v>
      </c>
    </row>
    <row r="91" spans="1:21" x14ac:dyDescent="0.35">
      <c r="A91" s="1" t="s">
        <v>411</v>
      </c>
      <c r="B91" s="2">
        <v>40551</v>
      </c>
      <c r="C91" s="2">
        <v>40556</v>
      </c>
      <c r="D91" s="1" t="s">
        <v>22</v>
      </c>
      <c r="E91" s="1" t="s">
        <v>412</v>
      </c>
      <c r="F91" s="1" t="s">
        <v>24</v>
      </c>
      <c r="G91" s="1" t="s">
        <v>220</v>
      </c>
      <c r="H91" s="1" t="s">
        <v>221</v>
      </c>
      <c r="I91" s="1" t="s">
        <v>222</v>
      </c>
      <c r="J91" s="1" t="s">
        <v>127</v>
      </c>
      <c r="K91" s="1" t="s">
        <v>413</v>
      </c>
      <c r="L91" s="1" t="s">
        <v>62</v>
      </c>
      <c r="M91" s="1" t="s">
        <v>63</v>
      </c>
      <c r="N91" s="1" t="s">
        <v>414</v>
      </c>
      <c r="O91" s="6">
        <v>77</v>
      </c>
      <c r="P91" s="1">
        <v>3</v>
      </c>
      <c r="Q91" s="4">
        <v>0.6</v>
      </c>
      <c r="R91" s="6">
        <v>-53.709600000000002</v>
      </c>
      <c r="S91" s="1">
        <v>6.69</v>
      </c>
      <c r="T91" s="1" t="s">
        <v>32</v>
      </c>
      <c r="U91" s="1">
        <v>2011</v>
      </c>
    </row>
    <row r="92" spans="1:21" x14ac:dyDescent="0.35">
      <c r="A92" s="1" t="s">
        <v>403</v>
      </c>
      <c r="B92" s="2">
        <v>40551</v>
      </c>
      <c r="C92" s="2">
        <v>40557</v>
      </c>
      <c r="D92" s="1" t="s">
        <v>22</v>
      </c>
      <c r="E92" s="1" t="s">
        <v>219</v>
      </c>
      <c r="F92" s="1" t="s">
        <v>24</v>
      </c>
      <c r="G92" s="1" t="s">
        <v>404</v>
      </c>
      <c r="H92" s="1" t="s">
        <v>196</v>
      </c>
      <c r="I92" s="1" t="s">
        <v>56</v>
      </c>
      <c r="J92" s="1" t="s">
        <v>127</v>
      </c>
      <c r="K92" s="1" t="s">
        <v>417</v>
      </c>
      <c r="L92" s="1" t="s">
        <v>29</v>
      </c>
      <c r="M92" s="1" t="s">
        <v>155</v>
      </c>
      <c r="N92" s="1" t="s">
        <v>418</v>
      </c>
      <c r="O92" s="6">
        <v>116</v>
      </c>
      <c r="P92" s="1">
        <v>5</v>
      </c>
      <c r="Q92" s="4">
        <v>0.5</v>
      </c>
      <c r="R92" s="6">
        <v>-55.65</v>
      </c>
      <c r="S92" s="1">
        <v>3.91</v>
      </c>
      <c r="T92" s="1" t="s">
        <v>32</v>
      </c>
      <c r="U92" s="1">
        <v>2011</v>
      </c>
    </row>
    <row r="93" spans="1:21" x14ac:dyDescent="0.35">
      <c r="A93" s="1" t="s">
        <v>411</v>
      </c>
      <c r="B93" s="2">
        <v>40551</v>
      </c>
      <c r="C93" s="2">
        <v>40556</v>
      </c>
      <c r="D93" s="1" t="s">
        <v>22</v>
      </c>
      <c r="E93" s="1" t="s">
        <v>412</v>
      </c>
      <c r="F93" s="1" t="s">
        <v>24</v>
      </c>
      <c r="G93" s="1" t="s">
        <v>220</v>
      </c>
      <c r="H93" s="1" t="s">
        <v>221</v>
      </c>
      <c r="I93" s="1" t="s">
        <v>222</v>
      </c>
      <c r="J93" s="1" t="s">
        <v>127</v>
      </c>
      <c r="K93" s="1" t="s">
        <v>425</v>
      </c>
      <c r="L93" s="1" t="s">
        <v>29</v>
      </c>
      <c r="M93" s="1" t="s">
        <v>241</v>
      </c>
      <c r="N93" s="1" t="s">
        <v>426</v>
      </c>
      <c r="O93" s="6">
        <v>10</v>
      </c>
      <c r="P93" s="1">
        <v>7</v>
      </c>
      <c r="Q93" s="4">
        <v>0.8</v>
      </c>
      <c r="R93" s="6">
        <v>-18.252500000000001</v>
      </c>
      <c r="S93" s="1">
        <v>0.63</v>
      </c>
      <c r="T93" s="1" t="s">
        <v>32</v>
      </c>
      <c r="U93" s="1">
        <v>2011</v>
      </c>
    </row>
    <row r="94" spans="1:21" x14ac:dyDescent="0.35">
      <c r="A94" s="1" t="s">
        <v>427</v>
      </c>
      <c r="B94" s="2">
        <v>40552</v>
      </c>
      <c r="C94" s="2">
        <v>40556</v>
      </c>
      <c r="D94" s="1" t="s">
        <v>22</v>
      </c>
      <c r="E94" s="1" t="s">
        <v>428</v>
      </c>
      <c r="F94" s="1" t="s">
        <v>78</v>
      </c>
      <c r="G94" s="1" t="s">
        <v>429</v>
      </c>
      <c r="H94" s="1" t="s">
        <v>278</v>
      </c>
      <c r="I94" s="1" t="s">
        <v>37</v>
      </c>
      <c r="J94" s="1" t="s">
        <v>102</v>
      </c>
      <c r="K94" s="1" t="s">
        <v>430</v>
      </c>
      <c r="L94" s="1" t="s">
        <v>72</v>
      </c>
      <c r="M94" s="1" t="s">
        <v>129</v>
      </c>
      <c r="N94" s="1" t="s">
        <v>431</v>
      </c>
      <c r="O94" s="6">
        <v>240</v>
      </c>
      <c r="P94" s="1">
        <v>2</v>
      </c>
      <c r="Q94" s="4">
        <v>0.17</v>
      </c>
      <c r="R94" s="6">
        <v>-11.6028</v>
      </c>
      <c r="S94" s="1">
        <v>34.99</v>
      </c>
      <c r="T94" s="1" t="s">
        <v>50</v>
      </c>
      <c r="U94" s="1">
        <v>2011</v>
      </c>
    </row>
    <row r="95" spans="1:21" x14ac:dyDescent="0.35">
      <c r="A95" s="1" t="s">
        <v>432</v>
      </c>
      <c r="B95" s="2">
        <v>40552</v>
      </c>
      <c r="C95" s="2">
        <v>40557</v>
      </c>
      <c r="D95" s="1" t="s">
        <v>22</v>
      </c>
      <c r="E95" s="1" t="s">
        <v>433</v>
      </c>
      <c r="F95" s="1" t="s">
        <v>24</v>
      </c>
      <c r="G95" s="1" t="s">
        <v>434</v>
      </c>
      <c r="H95" s="1" t="s">
        <v>284</v>
      </c>
      <c r="I95" s="1" t="s">
        <v>37</v>
      </c>
      <c r="J95" s="1" t="s">
        <v>102</v>
      </c>
      <c r="K95" s="1" t="s">
        <v>435</v>
      </c>
      <c r="L95" s="1" t="s">
        <v>72</v>
      </c>
      <c r="M95" s="1" t="s">
        <v>138</v>
      </c>
      <c r="N95" s="1" t="s">
        <v>436</v>
      </c>
      <c r="O95" s="6">
        <v>177</v>
      </c>
      <c r="P95" s="1">
        <v>6</v>
      </c>
      <c r="Q95" s="4">
        <v>0.47</v>
      </c>
      <c r="R95" s="6">
        <v>-156.67920000000001</v>
      </c>
      <c r="S95" s="1">
        <v>17.09</v>
      </c>
      <c r="T95" s="1" t="s">
        <v>32</v>
      </c>
      <c r="U95" s="1">
        <v>2011</v>
      </c>
    </row>
    <row r="96" spans="1:21" x14ac:dyDescent="0.35">
      <c r="A96" s="1" t="s">
        <v>437</v>
      </c>
      <c r="B96" s="2">
        <v>40552</v>
      </c>
      <c r="C96" s="2">
        <v>40556</v>
      </c>
      <c r="D96" s="1" t="s">
        <v>22</v>
      </c>
      <c r="E96" s="1" t="s">
        <v>438</v>
      </c>
      <c r="F96" s="1" t="s">
        <v>53</v>
      </c>
      <c r="G96" s="1" t="s">
        <v>439</v>
      </c>
      <c r="H96" s="1" t="s">
        <v>101</v>
      </c>
      <c r="I96" s="1" t="s">
        <v>37</v>
      </c>
      <c r="J96" s="1" t="s">
        <v>102</v>
      </c>
      <c r="K96" s="1" t="s">
        <v>440</v>
      </c>
      <c r="L96" s="1" t="s">
        <v>29</v>
      </c>
      <c r="M96" s="1" t="s">
        <v>30</v>
      </c>
      <c r="N96" s="1" t="s">
        <v>441</v>
      </c>
      <c r="O96" s="6">
        <v>158</v>
      </c>
      <c r="P96" s="1">
        <v>5</v>
      </c>
      <c r="Q96" s="4">
        <v>0.45</v>
      </c>
      <c r="R96" s="6">
        <v>-2.9775</v>
      </c>
      <c r="S96" s="1">
        <v>10.08</v>
      </c>
      <c r="T96" s="1" t="s">
        <v>50</v>
      </c>
      <c r="U96" s="1">
        <v>2011</v>
      </c>
    </row>
    <row r="97" spans="1:21" x14ac:dyDescent="0.35">
      <c r="A97" s="1" t="s">
        <v>432</v>
      </c>
      <c r="B97" s="2">
        <v>40552</v>
      </c>
      <c r="C97" s="2">
        <v>40557</v>
      </c>
      <c r="D97" s="1" t="s">
        <v>22</v>
      </c>
      <c r="E97" s="1" t="s">
        <v>433</v>
      </c>
      <c r="F97" s="1" t="s">
        <v>24</v>
      </c>
      <c r="G97" s="1" t="s">
        <v>434</v>
      </c>
      <c r="H97" s="1" t="s">
        <v>284</v>
      </c>
      <c r="I97" s="1" t="s">
        <v>37</v>
      </c>
      <c r="J97" s="1" t="s">
        <v>102</v>
      </c>
      <c r="K97" s="1" t="s">
        <v>442</v>
      </c>
      <c r="L97" s="1" t="s">
        <v>72</v>
      </c>
      <c r="M97" s="1" t="s">
        <v>129</v>
      </c>
      <c r="N97" s="1" t="s">
        <v>443</v>
      </c>
      <c r="O97" s="6">
        <v>124</v>
      </c>
      <c r="P97" s="1">
        <v>2</v>
      </c>
      <c r="Q97" s="4">
        <v>0.17</v>
      </c>
      <c r="R97" s="6">
        <v>32.792999999999999</v>
      </c>
      <c r="S97" s="1">
        <v>7.93</v>
      </c>
      <c r="T97" s="1" t="s">
        <v>32</v>
      </c>
      <c r="U97" s="1">
        <v>2011</v>
      </c>
    </row>
    <row r="98" spans="1:21" x14ac:dyDescent="0.35">
      <c r="A98" s="1" t="s">
        <v>437</v>
      </c>
      <c r="B98" s="2">
        <v>40552</v>
      </c>
      <c r="C98" s="2">
        <v>40556</v>
      </c>
      <c r="D98" s="1" t="s">
        <v>22</v>
      </c>
      <c r="E98" s="1" t="s">
        <v>438</v>
      </c>
      <c r="F98" s="1" t="s">
        <v>53</v>
      </c>
      <c r="G98" s="1" t="s">
        <v>439</v>
      </c>
      <c r="H98" s="1" t="s">
        <v>101</v>
      </c>
      <c r="I98" s="1" t="s">
        <v>37</v>
      </c>
      <c r="J98" s="1" t="s">
        <v>102</v>
      </c>
      <c r="K98" s="1" t="s">
        <v>444</v>
      </c>
      <c r="L98" s="1" t="s">
        <v>29</v>
      </c>
      <c r="M98" s="1" t="s">
        <v>169</v>
      </c>
      <c r="N98" s="1" t="s">
        <v>445</v>
      </c>
      <c r="O98" s="6">
        <v>52</v>
      </c>
      <c r="P98" s="1">
        <v>7</v>
      </c>
      <c r="Q98" s="4">
        <v>0.45</v>
      </c>
      <c r="R98" s="6">
        <v>4.5884999999999998</v>
      </c>
      <c r="S98" s="1">
        <v>5.55</v>
      </c>
      <c r="T98" s="1" t="s">
        <v>50</v>
      </c>
      <c r="U98" s="1">
        <v>2011</v>
      </c>
    </row>
    <row r="99" spans="1:21" x14ac:dyDescent="0.35">
      <c r="A99" s="1" t="s">
        <v>432</v>
      </c>
      <c r="B99" s="2">
        <v>40552</v>
      </c>
      <c r="C99" s="2">
        <v>40557</v>
      </c>
      <c r="D99" s="1" t="s">
        <v>22</v>
      </c>
      <c r="E99" s="1" t="s">
        <v>433</v>
      </c>
      <c r="F99" s="1" t="s">
        <v>24</v>
      </c>
      <c r="G99" s="1" t="s">
        <v>434</v>
      </c>
      <c r="H99" s="1" t="s">
        <v>284</v>
      </c>
      <c r="I99" s="1" t="s">
        <v>37</v>
      </c>
      <c r="J99" s="1" t="s">
        <v>102</v>
      </c>
      <c r="K99" s="1" t="s">
        <v>446</v>
      </c>
      <c r="L99" s="1" t="s">
        <v>29</v>
      </c>
      <c r="M99" s="1" t="s">
        <v>149</v>
      </c>
      <c r="N99" s="1" t="s">
        <v>447</v>
      </c>
      <c r="O99" s="6">
        <v>45</v>
      </c>
      <c r="P99" s="1">
        <v>5</v>
      </c>
      <c r="Q99" s="4">
        <v>0.17</v>
      </c>
      <c r="R99" s="6">
        <v>17.8935</v>
      </c>
      <c r="S99" s="1">
        <v>3.31</v>
      </c>
      <c r="T99" s="1" t="s">
        <v>32</v>
      </c>
      <c r="U99" s="1">
        <v>2011</v>
      </c>
    </row>
    <row r="100" spans="1:21" x14ac:dyDescent="0.35">
      <c r="A100" s="1" t="s">
        <v>437</v>
      </c>
      <c r="B100" s="2">
        <v>40552</v>
      </c>
      <c r="C100" s="2">
        <v>40556</v>
      </c>
      <c r="D100" s="1" t="s">
        <v>22</v>
      </c>
      <c r="E100" s="1" t="s">
        <v>438</v>
      </c>
      <c r="F100" s="1" t="s">
        <v>53</v>
      </c>
      <c r="G100" s="1" t="s">
        <v>439</v>
      </c>
      <c r="H100" s="1" t="s">
        <v>101</v>
      </c>
      <c r="I100" s="1" t="s">
        <v>37</v>
      </c>
      <c r="J100" s="1" t="s">
        <v>102</v>
      </c>
      <c r="K100" s="1" t="s">
        <v>448</v>
      </c>
      <c r="L100" s="1" t="s">
        <v>29</v>
      </c>
      <c r="M100" s="1" t="s">
        <v>59</v>
      </c>
      <c r="N100" s="1" t="s">
        <v>449</v>
      </c>
      <c r="O100" s="6">
        <v>9</v>
      </c>
      <c r="P100" s="1">
        <v>1</v>
      </c>
      <c r="Q100" s="4">
        <v>0.45</v>
      </c>
      <c r="R100" s="6">
        <v>-1.7175</v>
      </c>
      <c r="S100" s="1">
        <v>0.69</v>
      </c>
      <c r="T100" s="1" t="s">
        <v>50</v>
      </c>
      <c r="U100" s="1">
        <v>2011</v>
      </c>
    </row>
  </sheetData>
  <sortState ref="A2:U100">
    <sortCondition ref="D1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tabSelected="1" workbookViewId="0">
      <selection activeCell="I5" sqref="I5"/>
    </sheetView>
  </sheetViews>
  <sheetFormatPr defaultRowHeight="14.5" x14ac:dyDescent="0.35"/>
  <cols>
    <col min="9" max="9" width="12.7265625" customWidth="1"/>
  </cols>
  <sheetData>
    <row r="1" spans="1:19" x14ac:dyDescent="0.35">
      <c r="A1" s="34" t="s">
        <v>479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x14ac:dyDescent="0.3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4" spans="1:19" ht="18.5" x14ac:dyDescent="0.45">
      <c r="A4" s="35" t="s">
        <v>481</v>
      </c>
      <c r="B4" s="35"/>
      <c r="C4" s="35"/>
      <c r="D4" s="35"/>
      <c r="E4" s="35"/>
      <c r="F4" s="35"/>
      <c r="G4" s="35"/>
      <c r="H4" s="35"/>
      <c r="J4" s="36" t="s">
        <v>482</v>
      </c>
      <c r="K4" s="36"/>
      <c r="L4" s="36"/>
      <c r="M4" s="36"/>
      <c r="N4" s="36"/>
      <c r="O4" s="36"/>
      <c r="P4" s="36"/>
      <c r="Q4" s="36"/>
      <c r="R4" s="36"/>
      <c r="S4" s="36"/>
    </row>
    <row r="23" spans="1:19" ht="18.5" x14ac:dyDescent="0.45">
      <c r="A23" s="36" t="s">
        <v>483</v>
      </c>
      <c r="B23" s="36"/>
      <c r="C23" s="36"/>
      <c r="D23" s="36"/>
      <c r="E23" s="36"/>
      <c r="F23" s="36"/>
      <c r="G23" s="36"/>
      <c r="H23" s="36"/>
      <c r="J23" s="36" t="s">
        <v>484</v>
      </c>
      <c r="K23" s="36"/>
      <c r="L23" s="36"/>
      <c r="M23" s="36"/>
      <c r="N23" s="36"/>
      <c r="O23" s="36"/>
      <c r="P23" s="36"/>
      <c r="Q23" s="36"/>
      <c r="R23" s="36"/>
      <c r="S23" s="36"/>
    </row>
  </sheetData>
  <mergeCells count="5">
    <mergeCell ref="A1:S2"/>
    <mergeCell ref="A4:H4"/>
    <mergeCell ref="J4:S4"/>
    <mergeCell ref="A23:H23"/>
    <mergeCell ref="J23:S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sqref="A1:J1"/>
    </sheetView>
  </sheetViews>
  <sheetFormatPr defaultRowHeight="14.5" x14ac:dyDescent="0.35"/>
  <cols>
    <col min="1" max="1" width="20.1796875" customWidth="1"/>
    <col min="2" max="2" width="12.453125" customWidth="1"/>
    <col min="3" max="3" width="12" customWidth="1"/>
    <col min="4" max="4" width="12.453125" customWidth="1"/>
    <col min="6" max="6" width="10.90625" customWidth="1"/>
    <col min="7" max="7" width="12.81640625" customWidth="1"/>
    <col min="8" max="8" width="11.1796875" customWidth="1"/>
  </cols>
  <sheetData>
    <row r="1" spans="1:10" ht="23" customHeight="1" x14ac:dyDescent="0.5">
      <c r="A1" s="39" t="s">
        <v>450</v>
      </c>
      <c r="B1" s="40"/>
      <c r="C1" s="40"/>
      <c r="D1" s="40"/>
      <c r="E1" s="40"/>
      <c r="F1" s="40"/>
      <c r="G1" s="40"/>
      <c r="H1" s="40"/>
      <c r="I1" s="40"/>
      <c r="J1" s="40"/>
    </row>
    <row r="3" spans="1:10" x14ac:dyDescent="0.35">
      <c r="A3" s="41" t="s">
        <v>451</v>
      </c>
      <c r="B3" s="41"/>
      <c r="C3" s="21">
        <v>0</v>
      </c>
    </row>
    <row r="4" spans="1:10" x14ac:dyDescent="0.35">
      <c r="A4" s="41" t="s">
        <v>452</v>
      </c>
      <c r="B4" s="41"/>
      <c r="C4" s="21">
        <f>COUNTBLANK(Dataset!O2:O100)</f>
        <v>0</v>
      </c>
    </row>
    <row r="5" spans="1:10" x14ac:dyDescent="0.35">
      <c r="A5" s="42"/>
      <c r="B5" s="42"/>
    </row>
    <row r="6" spans="1:10" x14ac:dyDescent="0.35">
      <c r="A6" s="43" t="s">
        <v>453</v>
      </c>
      <c r="B6" s="43"/>
      <c r="C6" s="37" t="s">
        <v>454</v>
      </c>
      <c r="D6" s="38"/>
      <c r="E6" s="37" t="s">
        <v>455</v>
      </c>
      <c r="F6" s="38"/>
      <c r="G6" s="37" t="s">
        <v>456</v>
      </c>
      <c r="H6" s="38"/>
    </row>
    <row r="7" spans="1:10" x14ac:dyDescent="0.35">
      <c r="A7" s="22">
        <f>SUMPRODUCT(Dataset!O2:O100,Dataset!P2:P100)</f>
        <v>141165</v>
      </c>
      <c r="B7" s="8"/>
      <c r="C7" s="22">
        <f>SUM(Dataset!R2:R100)</f>
        <v>2953.9984399999989</v>
      </c>
      <c r="E7" s="21">
        <f>SUM(Dataset!P2:P100)</f>
        <v>309</v>
      </c>
      <c r="G7" s="23">
        <f>AVERAGE(Dataset!Q2:Q100)</f>
        <v>0.16496969696969693</v>
      </c>
    </row>
    <row r="9" spans="1:10" x14ac:dyDescent="0.35">
      <c r="A9" s="9" t="s">
        <v>457</v>
      </c>
      <c r="B9" s="9" t="s">
        <v>459</v>
      </c>
      <c r="C9" s="9" t="s">
        <v>458</v>
      </c>
    </row>
    <row r="10" spans="1:10" x14ac:dyDescent="0.35">
      <c r="A10" s="24" t="s">
        <v>62</v>
      </c>
      <c r="B10" s="22">
        <f>SUMIFS(Dataset!O2:O100,Dataset!L2:L100,"Furniture")</f>
        <v>10431</v>
      </c>
      <c r="C10" s="22">
        <f>SUMIFS(Dataset!R2:R100,Dataset!L2:L100,"Furniture")</f>
        <v>838.48270000000036</v>
      </c>
    </row>
    <row r="11" spans="1:10" x14ac:dyDescent="0.35">
      <c r="A11" s="24" t="s">
        <v>29</v>
      </c>
      <c r="B11" s="22">
        <f>SUMIFS(Dataset!O2:O100,Dataset!L2:L100,"Office Supplies")</f>
        <v>9229</v>
      </c>
      <c r="C11" s="22">
        <f>SUMIFS(Dataset!R2:R100,Dataset!L2:L100,"Office Supplies")</f>
        <v>1896.9275999999998</v>
      </c>
    </row>
    <row r="12" spans="1:10" x14ac:dyDescent="0.35">
      <c r="A12" s="24" t="s">
        <v>72</v>
      </c>
      <c r="B12" s="22">
        <f>SUMIFS(Dataset!O2:O100,Dataset!L2:L100,"Technology")</f>
        <v>7282</v>
      </c>
      <c r="C12" s="22">
        <f>SUMIFS(Dataset!R2:R100,Dataset!L2:L100,"Technology")</f>
        <v>218.58813999999998</v>
      </c>
    </row>
    <row r="14" spans="1:10" x14ac:dyDescent="0.35">
      <c r="A14" s="9" t="s">
        <v>460</v>
      </c>
      <c r="B14" s="9" t="s">
        <v>459</v>
      </c>
      <c r="C14" s="9" t="s">
        <v>461</v>
      </c>
    </row>
    <row r="15" spans="1:10" x14ac:dyDescent="0.35">
      <c r="A15" s="25" t="s">
        <v>106</v>
      </c>
      <c r="B15" s="21">
        <f>SUMIFS(Dataset!O2:O100,Dataset!M2:M100,"Tables")</f>
        <v>211</v>
      </c>
      <c r="C15" s="21">
        <f>SUMIFS(Dataset!R2:R100,Dataset!M2:M100,"Tables")</f>
        <v>-70.399500000000003</v>
      </c>
    </row>
    <row r="16" spans="1:10" x14ac:dyDescent="0.35">
      <c r="A16" s="25" t="s">
        <v>169</v>
      </c>
      <c r="B16" s="21">
        <f>SUMIFS(Dataset!O2:O100,Dataset!M2:M100,"Fasteners")</f>
        <v>223</v>
      </c>
      <c r="C16" s="21">
        <f>SUMIFS(Dataset!R2:R100,Dataset!M2:M100,"Fasteners")</f>
        <v>-9.2285000000000021</v>
      </c>
    </row>
    <row r="17" spans="1:3" x14ac:dyDescent="0.35">
      <c r="A17" s="25" t="s">
        <v>149</v>
      </c>
      <c r="B17" s="21">
        <f>SUMIFS(Dataset!O2:O100,Dataset!M2:M100,"Labels")</f>
        <v>138</v>
      </c>
      <c r="C17" s="21">
        <f>SUMIFS(Dataset!R2:R100,Dataset!M2:M100,"Labels")</f>
        <v>46.048200000000001</v>
      </c>
    </row>
    <row r="18" spans="1:3" x14ac:dyDescent="0.35">
      <c r="A18" s="25" t="s">
        <v>40</v>
      </c>
      <c r="B18" s="21">
        <f>SUMIFS(Dataset!O2:O100,Dataset!M2:M100,"Supplies")</f>
        <v>350</v>
      </c>
      <c r="C18" s="21">
        <f>SUMIFS(Dataset!R2:R100,Dataset!M2:M100,"Supplies")</f>
        <v>90.956000000000003</v>
      </c>
    </row>
    <row r="19" spans="1:3" x14ac:dyDescent="0.35">
      <c r="A19" s="25" t="s">
        <v>166</v>
      </c>
      <c r="B19" s="21">
        <f>SUMIFS(Dataset!O2:O100,Dataset!M2:M100,"Envelopes")</f>
        <v>377</v>
      </c>
      <c r="C19" s="21">
        <f>SUMIFS(Dataset!R2:R100,Dataset!M2:M100,"Envelopes")</f>
        <v>-66.396000000000001</v>
      </c>
    </row>
    <row r="20" spans="1:3" x14ac:dyDescent="0.35">
      <c r="A20" s="25" t="s">
        <v>63</v>
      </c>
      <c r="B20" s="21">
        <f>SUMIFS(Dataset!O2:O100,Dataset!M2:M100,"Furnishings")</f>
        <v>590</v>
      </c>
      <c r="C20" s="21">
        <f>SUMIFS(Dataset!R2:R100,Dataset!M2:M100,"Furnishings")</f>
        <v>50.000399999999992</v>
      </c>
    </row>
    <row r="21" spans="1:3" x14ac:dyDescent="0.35">
      <c r="A21" s="25" t="s">
        <v>155</v>
      </c>
      <c r="B21" s="21">
        <f>SUMIFS(Dataset!O2:O100,Dataset!M2:M100,"Art")</f>
        <v>853</v>
      </c>
      <c r="C21" s="21">
        <f>SUMIFS(Dataset!R2:R100,Dataset!M2:M100,"Art")</f>
        <v>80.864399999999989</v>
      </c>
    </row>
    <row r="22" spans="1:3" x14ac:dyDescent="0.35">
      <c r="A22" s="25" t="s">
        <v>73</v>
      </c>
      <c r="B22" s="21">
        <f>SUMIFS(Dataset!O2:O100,Dataset!M2:M100,"Machines")</f>
        <v>3321</v>
      </c>
      <c r="C22" s="21">
        <f>SUMIFS(Dataset!R2:R100,Dataset!M2:M100,"Machines")</f>
        <v>153.03749999999999</v>
      </c>
    </row>
    <row r="23" spans="1:3" x14ac:dyDescent="0.35">
      <c r="A23" s="25" t="s">
        <v>59</v>
      </c>
      <c r="B23" s="21">
        <f>SUMIFS(Dataset!O2:O100,Dataset!M2:M100,"Paper")</f>
        <v>190</v>
      </c>
      <c r="C23" s="21">
        <f>SUMIFS(Dataset!R2:R100,Dataset!M2:M100,"Paper")</f>
        <v>17.049600000000002</v>
      </c>
    </row>
    <row r="24" spans="1:3" x14ac:dyDescent="0.35">
      <c r="A24" s="25" t="s">
        <v>241</v>
      </c>
      <c r="B24" s="21">
        <f>SUMIFS(Dataset!O2:O100,Dataset!M2:M100,"Binders")</f>
        <v>704</v>
      </c>
      <c r="C24" s="21">
        <f>SUMIFS(Dataset!R2:R100,Dataset!M2:M100,"Binders")</f>
        <v>271.0095</v>
      </c>
    </row>
    <row r="25" spans="1:3" x14ac:dyDescent="0.35">
      <c r="A25" s="25" t="s">
        <v>30</v>
      </c>
      <c r="B25" s="21">
        <f>SUMIFS(Dataset!O2:O100,Dataset!M2:M100,"Storage")</f>
        <v>2966</v>
      </c>
      <c r="C25" s="21">
        <f>SUMIFS(Dataset!R2:R100,Dataset!M2:M100,"Storage")</f>
        <v>313.9523999999999</v>
      </c>
    </row>
    <row r="26" spans="1:3" x14ac:dyDescent="0.35">
      <c r="A26" s="25" t="s">
        <v>138</v>
      </c>
      <c r="B26" s="21">
        <f>SUMIFS(Dataset!O2:O100,Dataset!M2:M100,"Accessories")</f>
        <v>809</v>
      </c>
      <c r="C26" s="21">
        <f>SUMIFS(Dataset!R2:R100,Dataset!M2:M100,"Accessories")</f>
        <v>-169.85720000000001</v>
      </c>
    </row>
    <row r="27" spans="1:3" x14ac:dyDescent="0.35">
      <c r="A27" s="25" t="s">
        <v>80</v>
      </c>
      <c r="B27" s="21">
        <f>SUMIFS(Dataset!O2:O100,Dataset!M2:M100,"Appliances")</f>
        <v>3428</v>
      </c>
      <c r="C27" s="21">
        <f>SUMIFS(Dataset!R2:R100,Dataset!M2:M100,"Appliances")</f>
        <v>1152.672</v>
      </c>
    </row>
    <row r="28" spans="1:3" x14ac:dyDescent="0.35">
      <c r="A28" s="25" t="s">
        <v>96</v>
      </c>
      <c r="B28" s="21">
        <f>SUMIFS(Dataset!O2:O100,Dataset!M2:M100,"Chairs")</f>
        <v>3507</v>
      </c>
      <c r="C28" s="21">
        <f>SUMIFS(Dataset!R2:R100,Dataset!M2:M100,"Chairs")</f>
        <v>884.51979999999992</v>
      </c>
    </row>
    <row r="29" spans="1:3" x14ac:dyDescent="0.35">
      <c r="A29" s="25" t="s">
        <v>113</v>
      </c>
      <c r="B29" s="21">
        <f>SUMIFS(Dataset!O2:O100,Dataset!M2:M100,"Bookcases")</f>
        <v>6123</v>
      </c>
      <c r="C29" s="21">
        <f>SUMIFS(Dataset!R2:R100,Dataset!M2:M100,"Bookcases")</f>
        <v>-25.63799999999992</v>
      </c>
    </row>
    <row r="30" spans="1:3" x14ac:dyDescent="0.35">
      <c r="A30" s="25" t="s">
        <v>129</v>
      </c>
      <c r="B30" s="21">
        <f>SUMIFS(Dataset!O2:O100,Dataset!M2:M100,"Phones")</f>
        <v>1707</v>
      </c>
      <c r="C30" s="21">
        <f>SUMIFS(Dataset!R2:R100,Dataset!M2:M100,"Phones")</f>
        <v>383.85360000000003</v>
      </c>
    </row>
    <row r="31" spans="1:3" x14ac:dyDescent="0.35">
      <c r="A31" s="25" t="s">
        <v>88</v>
      </c>
      <c r="B31" s="21">
        <f>SUMIFS(Dataset!O2:O100,Dataset!M2:M100,"Copiers")</f>
        <v>1445</v>
      </c>
      <c r="C31" s="21">
        <f>SUMIFS(Dataset!R2:R100,Dataset!M2:M100,"Copiers")</f>
        <v>-148.44576000000001</v>
      </c>
    </row>
  </sheetData>
  <mergeCells count="8">
    <mergeCell ref="C6:D6"/>
    <mergeCell ref="E6:F6"/>
    <mergeCell ref="G6:H6"/>
    <mergeCell ref="A1:J1"/>
    <mergeCell ref="A3:B3"/>
    <mergeCell ref="A4:B4"/>
    <mergeCell ref="A5:B5"/>
    <mergeCell ref="A6:B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sqref="A1:K1"/>
    </sheetView>
  </sheetViews>
  <sheetFormatPr defaultRowHeight="14.5" x14ac:dyDescent="0.35"/>
  <cols>
    <col min="1" max="1" width="14.6328125" customWidth="1"/>
    <col min="2" max="2" width="14.81640625" customWidth="1"/>
    <col min="3" max="3" width="17.54296875" customWidth="1"/>
    <col min="4" max="4" width="14.90625" customWidth="1"/>
    <col min="5" max="5" width="24.81640625" customWidth="1"/>
    <col min="6" max="6" width="12.36328125" customWidth="1"/>
    <col min="7" max="7" width="11.1796875" customWidth="1"/>
    <col min="8" max="8" width="11.81640625" customWidth="1"/>
    <col min="9" max="9" width="11.1796875" customWidth="1"/>
    <col min="10" max="10" width="10.7265625" customWidth="1"/>
    <col min="11" max="15" width="14.26953125" customWidth="1"/>
    <col min="16" max="16" width="10.7265625" customWidth="1"/>
    <col min="17" max="17" width="13.26953125" customWidth="1"/>
    <col min="18" max="18" width="5.1796875" customWidth="1"/>
    <col min="19" max="19" width="10.7265625" bestFit="1" customWidth="1"/>
  </cols>
  <sheetData>
    <row r="1" spans="1:11" ht="27.5" customHeight="1" x14ac:dyDescent="0.35">
      <c r="A1" s="44" t="s">
        <v>467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3" spans="1:11" x14ac:dyDescent="0.35">
      <c r="A3" s="18" t="s">
        <v>457</v>
      </c>
      <c r="B3" s="18" t="s">
        <v>463</v>
      </c>
      <c r="C3" s="18" t="s">
        <v>464</v>
      </c>
      <c r="E3" s="13" t="s">
        <v>1</v>
      </c>
      <c r="F3" s="13" t="s">
        <v>465</v>
      </c>
    </row>
    <row r="4" spans="1:11" x14ac:dyDescent="0.35">
      <c r="A4" s="1" t="s">
        <v>62</v>
      </c>
      <c r="B4" s="19">
        <v>10431</v>
      </c>
      <c r="C4" s="19">
        <v>838.48270000000036</v>
      </c>
    </row>
    <row r="5" spans="1:11" x14ac:dyDescent="0.35">
      <c r="A5" s="1" t="s">
        <v>29</v>
      </c>
      <c r="B5" s="19">
        <v>9229</v>
      </c>
      <c r="C5" s="19">
        <v>1896.9275999999998</v>
      </c>
      <c r="E5" s="13" t="s">
        <v>480</v>
      </c>
      <c r="F5" s="13" t="s">
        <v>463</v>
      </c>
      <c r="G5" s="13" t="s">
        <v>464</v>
      </c>
    </row>
    <row r="6" spans="1:11" x14ac:dyDescent="0.35">
      <c r="A6" s="1" t="s">
        <v>72</v>
      </c>
      <c r="B6" s="19">
        <v>7282</v>
      </c>
      <c r="C6" s="19">
        <v>218.58813999999998</v>
      </c>
      <c r="E6" s="10" t="s">
        <v>138</v>
      </c>
      <c r="F6" s="11">
        <v>809</v>
      </c>
      <c r="G6" s="11">
        <v>-169.85720000000001</v>
      </c>
    </row>
    <row r="7" spans="1:11" x14ac:dyDescent="0.35">
      <c r="A7" s="16" t="s">
        <v>462</v>
      </c>
      <c r="B7" s="17">
        <v>26942</v>
      </c>
      <c r="C7" s="17">
        <v>2953.9984399999998</v>
      </c>
      <c r="E7" s="10" t="s">
        <v>80</v>
      </c>
      <c r="F7" s="11">
        <v>3428</v>
      </c>
      <c r="G7" s="11">
        <v>1152.672</v>
      </c>
    </row>
    <row r="8" spans="1:11" x14ac:dyDescent="0.35">
      <c r="A8" s="1"/>
      <c r="B8" s="1"/>
      <c r="C8" s="1"/>
      <c r="E8" s="10" t="s">
        <v>155</v>
      </c>
      <c r="F8" s="11">
        <v>853</v>
      </c>
      <c r="G8" s="11">
        <v>80.864399999999989</v>
      </c>
    </row>
    <row r="9" spans="1:11" x14ac:dyDescent="0.35">
      <c r="A9" s="16" t="s">
        <v>7</v>
      </c>
      <c r="B9" s="16" t="s">
        <v>465</v>
      </c>
      <c r="C9" s="1"/>
      <c r="E9" s="10" t="s">
        <v>241</v>
      </c>
      <c r="F9" s="11">
        <v>704</v>
      </c>
      <c r="G9" s="11">
        <v>271.0095</v>
      </c>
    </row>
    <row r="10" spans="1:11" x14ac:dyDescent="0.35">
      <c r="A10" s="1"/>
      <c r="B10" s="1"/>
      <c r="C10" s="1"/>
      <c r="E10" s="10" t="s">
        <v>113</v>
      </c>
      <c r="F10" s="11">
        <v>6123</v>
      </c>
      <c r="G10" s="11">
        <v>-25.63799999999992</v>
      </c>
    </row>
    <row r="11" spans="1:11" x14ac:dyDescent="0.35">
      <c r="A11" s="16" t="s">
        <v>468</v>
      </c>
      <c r="B11" s="16" t="s">
        <v>463</v>
      </c>
      <c r="C11" s="16" t="s">
        <v>464</v>
      </c>
      <c r="E11" s="10" t="s">
        <v>96</v>
      </c>
      <c r="F11" s="11">
        <v>3507</v>
      </c>
      <c r="G11" s="11">
        <v>884.51979999999992</v>
      </c>
    </row>
    <row r="12" spans="1:11" x14ac:dyDescent="0.35">
      <c r="A12" s="1" t="s">
        <v>27</v>
      </c>
      <c r="B12" s="19">
        <v>3414</v>
      </c>
      <c r="C12" s="19">
        <v>264.37800000000004</v>
      </c>
      <c r="E12" s="10" t="s">
        <v>88</v>
      </c>
      <c r="F12" s="11">
        <v>1445</v>
      </c>
      <c r="G12" s="11">
        <v>-148.44576000000001</v>
      </c>
    </row>
    <row r="13" spans="1:11" x14ac:dyDescent="0.35">
      <c r="A13" s="1" t="s">
        <v>70</v>
      </c>
      <c r="B13" s="19">
        <v>314</v>
      </c>
      <c r="C13" s="19">
        <v>3.12</v>
      </c>
      <c r="E13" s="10" t="s">
        <v>166</v>
      </c>
      <c r="F13" s="11">
        <v>377</v>
      </c>
      <c r="G13" s="11">
        <v>-66.396000000000001</v>
      </c>
    </row>
    <row r="14" spans="1:11" x14ac:dyDescent="0.35">
      <c r="A14" s="1" t="s">
        <v>190</v>
      </c>
      <c r="B14" s="19">
        <v>301</v>
      </c>
      <c r="C14" s="19">
        <v>20.399999999999999</v>
      </c>
      <c r="E14" s="10" t="s">
        <v>169</v>
      </c>
      <c r="F14" s="11">
        <v>223</v>
      </c>
      <c r="G14" s="11">
        <v>-9.2285000000000021</v>
      </c>
    </row>
    <row r="15" spans="1:11" x14ac:dyDescent="0.35">
      <c r="A15" s="1" t="s">
        <v>127</v>
      </c>
      <c r="B15" s="19">
        <v>3807</v>
      </c>
      <c r="C15" s="19">
        <v>-616.85400000000004</v>
      </c>
      <c r="E15" s="10" t="s">
        <v>63</v>
      </c>
      <c r="F15" s="11">
        <v>590</v>
      </c>
      <c r="G15" s="11">
        <v>50.000399999999992</v>
      </c>
    </row>
    <row r="16" spans="1:11" x14ac:dyDescent="0.35">
      <c r="A16" s="1" t="s">
        <v>306</v>
      </c>
      <c r="B16" s="19">
        <v>20</v>
      </c>
      <c r="C16" s="19">
        <v>4.8840000000000003</v>
      </c>
      <c r="E16" s="10" t="s">
        <v>149</v>
      </c>
      <c r="F16" s="11">
        <v>138</v>
      </c>
      <c r="G16" s="11">
        <v>46.048200000000001</v>
      </c>
    </row>
    <row r="17" spans="1:7" x14ac:dyDescent="0.35">
      <c r="A17" s="1" t="s">
        <v>47</v>
      </c>
      <c r="B17" s="19">
        <v>1234</v>
      </c>
      <c r="C17" s="19">
        <v>442.40999999999997</v>
      </c>
      <c r="E17" s="10" t="s">
        <v>73</v>
      </c>
      <c r="F17" s="11">
        <v>3321</v>
      </c>
      <c r="G17" s="11">
        <v>153.03749999999999</v>
      </c>
    </row>
    <row r="18" spans="1:7" x14ac:dyDescent="0.35">
      <c r="A18" s="1" t="s">
        <v>57</v>
      </c>
      <c r="B18" s="19">
        <v>4361</v>
      </c>
      <c r="C18" s="19">
        <v>1303.49324</v>
      </c>
      <c r="E18" s="10" t="s">
        <v>59</v>
      </c>
      <c r="F18" s="11">
        <v>190</v>
      </c>
      <c r="G18" s="11">
        <v>17.049600000000002</v>
      </c>
    </row>
    <row r="19" spans="1:7" x14ac:dyDescent="0.35">
      <c r="A19" s="1" t="s">
        <v>229</v>
      </c>
      <c r="B19" s="19">
        <v>2281</v>
      </c>
      <c r="C19" s="19">
        <v>310.53000000000003</v>
      </c>
      <c r="E19" s="10" t="s">
        <v>129</v>
      </c>
      <c r="F19" s="11">
        <v>1707</v>
      </c>
      <c r="G19" s="11">
        <v>383.85360000000003</v>
      </c>
    </row>
    <row r="20" spans="1:7" x14ac:dyDescent="0.35">
      <c r="A20" s="1" t="s">
        <v>38</v>
      </c>
      <c r="B20" s="19">
        <v>1810</v>
      </c>
      <c r="C20" s="19">
        <v>-233.82900000000001</v>
      </c>
      <c r="E20" s="10" t="s">
        <v>30</v>
      </c>
      <c r="F20" s="11">
        <v>2966</v>
      </c>
      <c r="G20" s="11">
        <v>313.9523999999999</v>
      </c>
    </row>
    <row r="21" spans="1:7" x14ac:dyDescent="0.35">
      <c r="A21" s="1" t="s">
        <v>177</v>
      </c>
      <c r="B21" s="19">
        <v>6321</v>
      </c>
      <c r="C21" s="19">
        <v>1887.2651999999998</v>
      </c>
      <c r="E21" s="10" t="s">
        <v>40</v>
      </c>
      <c r="F21" s="11">
        <v>350</v>
      </c>
      <c r="G21" s="11">
        <v>90.956000000000003</v>
      </c>
    </row>
    <row r="22" spans="1:7" x14ac:dyDescent="0.35">
      <c r="A22" s="1" t="s">
        <v>102</v>
      </c>
      <c r="B22" s="19">
        <v>3060</v>
      </c>
      <c r="C22" s="19">
        <v>-441.13019999999995</v>
      </c>
      <c r="E22" s="10" t="s">
        <v>106</v>
      </c>
      <c r="F22" s="11">
        <v>211</v>
      </c>
      <c r="G22" s="11">
        <v>-70.399500000000003</v>
      </c>
    </row>
    <row r="23" spans="1:7" x14ac:dyDescent="0.35">
      <c r="A23" s="1" t="s">
        <v>353</v>
      </c>
      <c r="B23" s="19">
        <v>19</v>
      </c>
      <c r="C23" s="19">
        <v>9.3312000000000008</v>
      </c>
      <c r="E23" s="14" t="s">
        <v>462</v>
      </c>
      <c r="F23" s="15">
        <v>26942</v>
      </c>
      <c r="G23" s="15">
        <v>2953.9984399999998</v>
      </c>
    </row>
    <row r="24" spans="1:7" x14ac:dyDescent="0.35">
      <c r="A24" s="16" t="s">
        <v>462</v>
      </c>
      <c r="B24" s="17">
        <v>26942</v>
      </c>
      <c r="C24" s="17">
        <v>2953.9984399999998</v>
      </c>
    </row>
    <row r="25" spans="1:7" x14ac:dyDescent="0.35">
      <c r="A25" s="1"/>
      <c r="B25" s="1"/>
      <c r="C25" s="1"/>
    </row>
    <row r="26" spans="1:7" x14ac:dyDescent="0.35">
      <c r="A26" s="16" t="s">
        <v>469</v>
      </c>
      <c r="B26" s="16" t="s">
        <v>463</v>
      </c>
      <c r="C26" s="16" t="s">
        <v>466</v>
      </c>
      <c r="D26" s="16" t="s">
        <v>464</v>
      </c>
    </row>
    <row r="27" spans="1:7" x14ac:dyDescent="0.35">
      <c r="A27" s="1" t="s">
        <v>27</v>
      </c>
      <c r="B27" s="19">
        <v>3414</v>
      </c>
      <c r="C27" s="19">
        <v>0.7</v>
      </c>
      <c r="D27" s="19">
        <v>264.37800000000004</v>
      </c>
    </row>
    <row r="28" spans="1:7" x14ac:dyDescent="0.35">
      <c r="A28" s="1" t="s">
        <v>37</v>
      </c>
      <c r="B28" s="19">
        <v>7151</v>
      </c>
      <c r="C28" s="19">
        <v>8.7299999999999986</v>
      </c>
      <c r="D28" s="19">
        <v>-364.42919999999992</v>
      </c>
    </row>
    <row r="29" spans="1:7" x14ac:dyDescent="0.35">
      <c r="A29" s="1" t="s">
        <v>70</v>
      </c>
      <c r="B29" s="19">
        <v>314</v>
      </c>
      <c r="C29" s="19">
        <v>0</v>
      </c>
      <c r="D29" s="19">
        <v>3.12</v>
      </c>
    </row>
    <row r="30" spans="1:7" x14ac:dyDescent="0.35">
      <c r="A30" s="1" t="s">
        <v>47</v>
      </c>
      <c r="B30" s="19">
        <v>1234</v>
      </c>
      <c r="C30" s="19">
        <v>0</v>
      </c>
      <c r="D30" s="19">
        <v>442.40999999999997</v>
      </c>
    </row>
    <row r="31" spans="1:7" x14ac:dyDescent="0.35">
      <c r="A31" s="1" t="s">
        <v>56</v>
      </c>
      <c r="B31" s="19">
        <v>3716</v>
      </c>
      <c r="C31" s="19">
        <v>3.3000000000000003</v>
      </c>
      <c r="D31" s="19">
        <v>-490.72799999999995</v>
      </c>
    </row>
    <row r="32" spans="1:7" x14ac:dyDescent="0.35">
      <c r="A32" s="1" t="s">
        <v>126</v>
      </c>
      <c r="B32" s="19">
        <v>6294</v>
      </c>
      <c r="C32" s="19">
        <v>0.60199999999999998</v>
      </c>
      <c r="D32" s="19">
        <v>1868.7122399999998</v>
      </c>
    </row>
    <row r="33" spans="1:4" x14ac:dyDescent="0.35">
      <c r="A33" s="1" t="s">
        <v>222</v>
      </c>
      <c r="B33" s="19">
        <v>4819</v>
      </c>
      <c r="C33" s="19">
        <v>3</v>
      </c>
      <c r="D33" s="19">
        <v>1230.5354</v>
      </c>
    </row>
    <row r="34" spans="1:4" x14ac:dyDescent="0.35">
      <c r="A34" s="16" t="s">
        <v>462</v>
      </c>
      <c r="B34" s="17">
        <v>26942</v>
      </c>
      <c r="C34" s="17">
        <v>16.332000000000001</v>
      </c>
      <c r="D34" s="17">
        <v>2953.9984400000003</v>
      </c>
    </row>
  </sheetData>
  <mergeCells count="1">
    <mergeCell ref="A1:K1"/>
  </mergeCells>
  <pageMargins left="0.7" right="0.7" top="0.75" bottom="0.75" header="0.3" footer="0.3"/>
  <pageSetup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sqref="A1:L1"/>
    </sheetView>
  </sheetViews>
  <sheetFormatPr defaultRowHeight="14.5" x14ac:dyDescent="0.35"/>
  <cols>
    <col min="1" max="1" width="20.453125" customWidth="1"/>
    <col min="2" max="2" width="24.54296875" customWidth="1"/>
    <col min="3" max="4" width="8.7265625" customWidth="1"/>
  </cols>
  <sheetData>
    <row r="1" spans="1:16" ht="26" x14ac:dyDescent="0.6">
      <c r="A1" s="46" t="s">
        <v>470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12"/>
      <c r="N1" s="12"/>
      <c r="O1" s="12"/>
      <c r="P1" s="12"/>
    </row>
    <row r="3" spans="1:16" ht="18.5" x14ac:dyDescent="0.35">
      <c r="A3" s="35" t="s">
        <v>471</v>
      </c>
      <c r="B3" s="35"/>
      <c r="C3" s="35"/>
      <c r="D3" s="35"/>
      <c r="E3" s="35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5" spans="1:16" x14ac:dyDescent="0.35">
      <c r="A5" s="9" t="s">
        <v>472</v>
      </c>
      <c r="B5" s="29" t="s">
        <v>329</v>
      </c>
    </row>
    <row r="6" spans="1:16" x14ac:dyDescent="0.35">
      <c r="A6" s="9" t="s">
        <v>473</v>
      </c>
      <c r="B6" s="21" t="str">
        <f>IFERROR(VLOOKUP(B5,Dataset!A2:U100,5,FALSE),"Not Found")</f>
        <v>Dave Poirier</v>
      </c>
    </row>
    <row r="7" spans="1:16" x14ac:dyDescent="0.35">
      <c r="A7" s="9" t="s">
        <v>475</v>
      </c>
      <c r="B7" s="21" t="str">
        <f>IFERROR(VLOOKUP(B5,Dataset!A2:U100,6,FALSE),"Not Found")</f>
        <v>Corporate</v>
      </c>
    </row>
    <row r="8" spans="1:16" x14ac:dyDescent="0.35">
      <c r="A8" s="9" t="s">
        <v>476</v>
      </c>
      <c r="B8" s="21" t="str">
        <f>IFERROR(VLOOKUP(B5,Dataset!A2:U100,8,FALSE),"Not Found")</f>
        <v>France</v>
      </c>
    </row>
    <row r="9" spans="1:16" x14ac:dyDescent="0.35">
      <c r="A9" s="9" t="s">
        <v>457</v>
      </c>
      <c r="B9" s="21" t="str">
        <f>IFERROR(VLOOKUP(B5,Dataset!A2:U100,12,FALSE),"Not Found")</f>
        <v>Office Supplies</v>
      </c>
    </row>
    <row r="10" spans="1:16" x14ac:dyDescent="0.35">
      <c r="A10" s="9" t="s">
        <v>459</v>
      </c>
      <c r="B10" s="22">
        <f>IFERROR(VLOOKUP(B5,Dataset!A2:U100,15,FALSE),"Not Found")</f>
        <v>716</v>
      </c>
    </row>
    <row r="11" spans="1:16" x14ac:dyDescent="0.35">
      <c r="A11" s="9" t="s">
        <v>461</v>
      </c>
      <c r="B11" s="22">
        <f>IFERROR(VLOOKUP(B5,Dataset!A2:U100,18,FALSE),"Not Found")</f>
        <v>143.16</v>
      </c>
    </row>
    <row r="13" spans="1:16" ht="18.5" x14ac:dyDescent="0.35">
      <c r="A13" s="28" t="s">
        <v>474</v>
      </c>
      <c r="B13" s="20"/>
      <c r="C13" s="20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5" spans="1:16" x14ac:dyDescent="0.35">
      <c r="A15" s="26" t="s">
        <v>477</v>
      </c>
      <c r="B15" s="29" t="s">
        <v>251</v>
      </c>
    </row>
    <row r="16" spans="1:16" x14ac:dyDescent="0.35">
      <c r="A16" s="27" t="s">
        <v>478</v>
      </c>
      <c r="B16" s="21" t="str">
        <f>INDEX(Dataset!K2:U100,MATCH(B15,Dataset!K2:K100,0),4)</f>
        <v>Sanford Canvas, Fluorescent</v>
      </c>
    </row>
    <row r="17" spans="1:2" x14ac:dyDescent="0.35">
      <c r="A17" s="27" t="s">
        <v>460</v>
      </c>
      <c r="B17" s="21" t="str">
        <f>INDEX(Dataset!K2:U100,MATCH(Advance_Formulas!B15,Dataset!K2:K100,0),3)</f>
        <v>Art</v>
      </c>
    </row>
    <row r="18" spans="1:2" x14ac:dyDescent="0.35">
      <c r="A18" s="27" t="s">
        <v>459</v>
      </c>
      <c r="B18" s="21">
        <f>INDEX(Dataset!K2:U100,MATCH(Advance_Formulas!B15,Dataset!K2:K100,0),5)</f>
        <v>207</v>
      </c>
    </row>
  </sheetData>
  <mergeCells count="2">
    <mergeCell ref="A1:L1"/>
    <mergeCell ref="A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Dashboard</vt:lpstr>
      <vt:lpstr>Analysis</vt:lpstr>
      <vt:lpstr>Pivot_Table</vt:lpstr>
      <vt:lpstr>Advance_Formulas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</dc:creator>
  <cp:lastModifiedBy>N</cp:lastModifiedBy>
  <dcterms:created xsi:type="dcterms:W3CDTF">2026-10-19T05:29:16Z</dcterms:created>
  <dcterms:modified xsi:type="dcterms:W3CDTF">2026-10-22T15:11:43Z</dcterms:modified>
</cp:coreProperties>
</file>